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1" codeName="{A63ED3A1-9429-3D75-F2AA-CA7E51A8F3A1}"/>
  <workbookPr codeName="ThisWorkbook" hidePivotFieldList="1" defaultThemeVersion="124226"/>
  <mc:AlternateContent xmlns:mc="http://schemas.openxmlformats.org/markup-compatibility/2006">
    <mc:Choice Requires="x15">
      <x15ac:absPath xmlns:x15ac="http://schemas.microsoft.com/office/spreadsheetml/2010/11/ac" url="/Users/choucair/Documents/Fdo/Proyectos/Likeme/"/>
    </mc:Choice>
  </mc:AlternateContent>
  <xr:revisionPtr revIDLastSave="0" documentId="13_ncr:1_{302C9470-0B15-2741-8823-BE1B37BBA21B}" xr6:coauthVersionLast="47" xr6:coauthVersionMax="47" xr10:uidLastSave="{00000000-0000-0000-0000-000000000000}"/>
  <bookViews>
    <workbookView xWindow="0" yWindow="500" windowWidth="35840" windowHeight="20860" tabRatio="760" activeTab="1" xr2:uid="{00000000-000D-0000-FFFF-FFFF00000000}"/>
  </bookViews>
  <sheets>
    <sheet name="Parametros" sheetId="22" state="veryHidden" r:id="rId1"/>
    <sheet name="PlanPruebas" sheetId="18" r:id="rId2"/>
    <sheet name="CartaTerminacion" sheetId="30" state="veryHidden" r:id="rId3"/>
    <sheet name="CartaCondicionada" sheetId="31" state="veryHidden" r:id="rId4"/>
    <sheet name="CartaDevolucion" sheetId="32" state="veryHidden" r:id="rId5"/>
    <sheet name="CartaSuspension" sheetId="33" state="veryHidden" r:id="rId6"/>
    <sheet name="CartaCancelacion" sheetId="34" state="veryHidden" r:id="rId7"/>
    <sheet name="Listas" sheetId="10" state="veryHidden" r:id="rId8"/>
    <sheet name="ListasEditables" sheetId="28" state="hidden" r:id="rId9"/>
  </sheets>
  <definedNames>
    <definedName name="Accion">Listas!$M$2:$M$5</definedName>
    <definedName name="ImpactoIssue">Listas!$L$2:$L$5</definedName>
    <definedName name="Operacion">Listas!$N$2:$N$7</definedName>
    <definedName name="Producto">Listas!$A$2:$A$13</definedName>
    <definedName name="SiNo">Listas!$E$2:$E$3</definedName>
    <definedName name="Unidad">ListasEditables!$A$2:$A$5</definedName>
  </definedNames>
  <calcPr calcId="191028"/>
  <customWorkbookViews>
    <customWorkbookView name="Interbank - Vista personalizada" guid="{4C038D33-707E-4C0B-8CC1-04988FDBD446}" mergeInterval="0" personalView="1" maximized="1" windowWidth="1362" windowHeight="545" tabRatio="878" activeSheetId="1"/>
    <customWorkbookView name="Administrador - Vista personalizada" guid="{ACD7FFF6-38FF-473B-A815-6EBAF6DAB5C0}" mergeInterval="0" personalView="1" maximized="1" windowWidth="1916" windowHeight="855" tabRatio="878"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60" i="18" l="1"/>
  <c r="B60" i="18"/>
  <c r="BM59" i="18"/>
  <c r="B59" i="18"/>
  <c r="BM58" i="18"/>
  <c r="B58" i="18"/>
  <c r="BM57" i="18"/>
  <c r="B57" i="18"/>
  <c r="BM41" i="18"/>
  <c r="AA41" i="18"/>
  <c r="B41" i="18"/>
  <c r="BM40" i="18"/>
  <c r="AA40" i="18"/>
  <c r="B40" i="18"/>
  <c r="BM39" i="18"/>
  <c r="AA39" i="18"/>
  <c r="B39" i="18"/>
  <c r="S79" i="18"/>
  <c r="D34" i="22"/>
  <c r="BM85" i="18"/>
  <c r="BM83" i="18"/>
  <c r="BM82" i="18"/>
  <c r="BM81" i="18"/>
  <c r="BM80" i="18"/>
  <c r="BM79" i="18"/>
  <c r="BM78" i="18"/>
  <c r="B83" i="18"/>
  <c r="B82" i="18"/>
  <c r="B81" i="18"/>
  <c r="C53" i="34" l="1"/>
  <c r="B42" i="34"/>
  <c r="B41" i="34"/>
  <c r="B40" i="34"/>
  <c r="BM36" i="34"/>
  <c r="BM34" i="34"/>
  <c r="B34" i="34"/>
  <c r="BM33" i="34"/>
  <c r="B33" i="34"/>
  <c r="BM32" i="34"/>
  <c r="B32" i="34"/>
  <c r="BM31" i="34"/>
  <c r="BM29" i="34"/>
  <c r="O19" i="34"/>
  <c r="O18" i="34"/>
  <c r="O17" i="34"/>
  <c r="O16" i="34"/>
  <c r="B11" i="34"/>
  <c r="B10" i="34"/>
  <c r="B9" i="34"/>
  <c r="BN2" i="34"/>
  <c r="BN1" i="34"/>
  <c r="C59" i="33"/>
  <c r="B48" i="33"/>
  <c r="B47" i="33"/>
  <c r="B46" i="33"/>
  <c r="BM42" i="33"/>
  <c r="BM40" i="33"/>
  <c r="B40" i="33"/>
  <c r="BM39" i="33"/>
  <c r="B39" i="33"/>
  <c r="BM38" i="33"/>
  <c r="B38" i="33"/>
  <c r="BM37" i="33"/>
  <c r="BM35" i="33"/>
  <c r="B28" i="33"/>
  <c r="B27" i="33"/>
  <c r="B26" i="33"/>
  <c r="O19" i="33"/>
  <c r="O18" i="33"/>
  <c r="O17" i="33"/>
  <c r="O16" i="33"/>
  <c r="B11" i="33"/>
  <c r="B10" i="33"/>
  <c r="B9" i="33"/>
  <c r="BN2" i="33"/>
  <c r="BN1" i="33"/>
  <c r="C66" i="32"/>
  <c r="B55" i="32"/>
  <c r="B54" i="32"/>
  <c r="B53" i="32"/>
  <c r="BM49" i="32"/>
  <c r="BM47" i="32"/>
  <c r="B47" i="32"/>
  <c r="BM46" i="32"/>
  <c r="B46" i="32"/>
  <c r="BM45" i="32"/>
  <c r="B45" i="32"/>
  <c r="BM44" i="32"/>
  <c r="BM42" i="32"/>
  <c r="B37" i="32"/>
  <c r="B36" i="32"/>
  <c r="B35" i="32"/>
  <c r="B30" i="32"/>
  <c r="B29" i="32"/>
  <c r="B28" i="32"/>
  <c r="C25" i="32"/>
  <c r="O19" i="32"/>
  <c r="O18" i="32"/>
  <c r="O17" i="32"/>
  <c r="O16" i="32"/>
  <c r="B11" i="32"/>
  <c r="B10" i="32"/>
  <c r="B9" i="32"/>
  <c r="BN2" i="32"/>
  <c r="BN1" i="32"/>
  <c r="C74" i="31"/>
  <c r="B65" i="31"/>
  <c r="B64" i="31"/>
  <c r="B63" i="31"/>
  <c r="BM59" i="31"/>
  <c r="BM57" i="31"/>
  <c r="B57" i="31"/>
  <c r="BM56" i="31"/>
  <c r="B56" i="31"/>
  <c r="BM55" i="31"/>
  <c r="B55" i="31"/>
  <c r="BM54" i="31"/>
  <c r="BM52" i="31"/>
  <c r="B49" i="31"/>
  <c r="B48" i="31"/>
  <c r="B47" i="31"/>
  <c r="C33" i="31"/>
  <c r="C32" i="31"/>
  <c r="C31" i="31"/>
  <c r="C27" i="31"/>
  <c r="C26" i="31"/>
  <c r="C25" i="31"/>
  <c r="O19" i="31"/>
  <c r="O18" i="31"/>
  <c r="O17" i="31"/>
  <c r="O16" i="31"/>
  <c r="B11" i="31"/>
  <c r="B10" i="31"/>
  <c r="B9" i="31"/>
  <c r="BN2" i="31"/>
  <c r="BN1" i="31"/>
  <c r="C71" i="30"/>
  <c r="B62" i="30"/>
  <c r="B61" i="30"/>
  <c r="B60" i="30"/>
  <c r="BM56" i="30"/>
  <c r="BM54" i="30"/>
  <c r="B54" i="30"/>
  <c r="BM53" i="30"/>
  <c r="B53" i="30"/>
  <c r="BM52" i="30"/>
  <c r="B52" i="30"/>
  <c r="BM51" i="30"/>
  <c r="BM49" i="30"/>
  <c r="C33" i="30"/>
  <c r="C32" i="30"/>
  <c r="C31" i="30"/>
  <c r="C27" i="30"/>
  <c r="C26" i="30"/>
  <c r="C25" i="30"/>
  <c r="O19" i="30"/>
  <c r="O18" i="30"/>
  <c r="O17" i="30"/>
  <c r="O16" i="30"/>
  <c r="B11" i="30"/>
  <c r="B10" i="30"/>
  <c r="B9" i="30"/>
  <c r="BN2" i="30"/>
  <c r="BN1" i="30"/>
  <c r="C105" i="18"/>
  <c r="BM93" i="18"/>
  <c r="BM91" i="18"/>
  <c r="B91" i="18"/>
  <c r="BM90" i="18"/>
  <c r="B90" i="18"/>
  <c r="BM89" i="18"/>
  <c r="B89" i="18"/>
  <c r="BM88" i="18"/>
  <c r="BM86" i="18"/>
  <c r="BM76" i="18"/>
  <c r="B76" i="18"/>
  <c r="BM75" i="18"/>
  <c r="B75" i="18"/>
  <c r="BM74" i="18"/>
  <c r="B74" i="18"/>
  <c r="BM73" i="18"/>
  <c r="BM71" i="18"/>
  <c r="BM70" i="18"/>
  <c r="BM68" i="18"/>
  <c r="B68" i="18"/>
  <c r="BM67" i="18"/>
  <c r="B67" i="18"/>
  <c r="BM66" i="18"/>
  <c r="B66" i="18"/>
  <c r="BM65" i="18"/>
  <c r="BM63" i="18"/>
  <c r="BM62" i="18"/>
  <c r="BM56" i="18"/>
  <c r="B56" i="18"/>
  <c r="BM55" i="18"/>
  <c r="B55" i="18"/>
  <c r="BM54" i="18"/>
  <c r="B54" i="18"/>
  <c r="BM53" i="18"/>
  <c r="BM51" i="18"/>
  <c r="BM43" i="18"/>
  <c r="BM38" i="18"/>
  <c r="AA38" i="18"/>
  <c r="B38" i="18"/>
  <c r="BM37" i="18"/>
  <c r="AA37" i="18"/>
  <c r="B37" i="18"/>
  <c r="BM36" i="18"/>
  <c r="AA36" i="18"/>
  <c r="B36" i="18"/>
  <c r="BM35" i="18"/>
  <c r="AA35" i="18"/>
  <c r="B35" i="18" s="1"/>
  <c r="BM34" i="18"/>
  <c r="AA34" i="18"/>
  <c r="BM33" i="18"/>
  <c r="BM32" i="18"/>
  <c r="BM30" i="18"/>
  <c r="BM29" i="18"/>
  <c r="BM27" i="18"/>
  <c r="B27" i="18"/>
  <c r="BM26" i="18"/>
  <c r="B26" i="18"/>
  <c r="BM25" i="18"/>
  <c r="B25" i="18"/>
  <c r="BM24" i="18"/>
  <c r="BM22" i="18"/>
  <c r="BM50" i="18"/>
  <c r="BM48" i="18"/>
  <c r="B48" i="18"/>
  <c r="BM47" i="18"/>
  <c r="BM46" i="18"/>
  <c r="BM44" i="18"/>
  <c r="B11" i="18"/>
  <c r="B10" i="18"/>
  <c r="B9" i="18"/>
  <c r="BN2" i="18"/>
  <c r="BN1" i="18"/>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A5" i="22"/>
  <c r="D4" i="22"/>
  <c r="A4" i="22"/>
  <c r="D3" i="22"/>
  <c r="D2" i="22"/>
  <c r="AA32" i="18" l="1"/>
  <c r="A6" i="22"/>
  <c r="B34" i="18"/>
  <c r="C23" i="30"/>
  <c r="C23"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analistaid2</author>
  </authors>
  <commentList>
    <comment ref="B44" authorId="0" shapeId="0" xr:uid="{00000000-0006-0000-0300-000001000000}">
      <text>
        <r>
          <rPr>
            <sz val="8"/>
            <color indexed="81"/>
            <rFont val="Tahoma"/>
            <family val="2"/>
          </rPr>
          <t xml:space="preserve">Hacer un listado de los reportes por los cuales se generó el condicionamiento, identificando el número del reporte y el estado en el que se dejaron y definir en el comité de cambios los riesgos y cómo se van a a mitigar </t>
        </r>
      </text>
    </comment>
  </commentList>
</comments>
</file>

<file path=xl/sharedStrings.xml><?xml version="1.0" encoding="utf-8"?>
<sst xmlns="http://schemas.openxmlformats.org/spreadsheetml/2006/main" count="544" uniqueCount="298">
  <si>
    <t>1.5</t>
  </si>
  <si>
    <t>Versión</t>
  </si>
  <si>
    <t>Tabla</t>
  </si>
  <si>
    <t>Fila Referencia</t>
  </si>
  <si>
    <t>Filas Insertadas</t>
  </si>
  <si>
    <t>Estado Carta Terminación</t>
  </si>
  <si>
    <t>Seguimiento</t>
  </si>
  <si>
    <t>Estado Carta Condicionada</t>
  </si>
  <si>
    <t>DatosProyecto</t>
  </si>
  <si>
    <t>Fila Artefacto</t>
  </si>
  <si>
    <t>TiposPrueba</t>
  </si>
  <si>
    <t>Columna Artefacto</t>
  </si>
  <si>
    <t>DescripcionProyecto</t>
  </si>
  <si>
    <t>Celda Artefacto</t>
  </si>
  <si>
    <t>Riesgos</t>
  </si>
  <si>
    <t>Estado Carta Devolución</t>
  </si>
  <si>
    <t>Estrategia</t>
  </si>
  <si>
    <t>Estado Carta Suspensión</t>
  </si>
  <si>
    <t>Supuestos</t>
  </si>
  <si>
    <t>Estado Carta Cancelación</t>
  </si>
  <si>
    <t>Alcance</t>
  </si>
  <si>
    <t>FueraAlcance</t>
  </si>
  <si>
    <t>SeguimientoCT</t>
  </si>
  <si>
    <t>AlcanceCT</t>
  </si>
  <si>
    <t>FueraAlcanceCT</t>
  </si>
  <si>
    <t>ObservacionesCT</t>
  </si>
  <si>
    <t>FirmasCT</t>
  </si>
  <si>
    <t>SeguimientoCC</t>
  </si>
  <si>
    <t>AlcanceCC</t>
  </si>
  <si>
    <t>FueraAlcanceCC</t>
  </si>
  <si>
    <t>IssuesCC</t>
  </si>
  <si>
    <t>ObservacionesCC</t>
  </si>
  <si>
    <t>FirmasCC</t>
  </si>
  <si>
    <t>SeguimientoDV</t>
  </si>
  <si>
    <t>InconvenientesDV</t>
  </si>
  <si>
    <t>RiesgosDV</t>
  </si>
  <si>
    <t>ObservacionesDV</t>
  </si>
  <si>
    <t>FirmasDV</t>
  </si>
  <si>
    <t>SeguimientoSP</t>
  </si>
  <si>
    <t>MotivosSP</t>
  </si>
  <si>
    <t>ObservacionesSP</t>
  </si>
  <si>
    <t>FirmasSP</t>
  </si>
  <si>
    <t>SeguimientoCN</t>
  </si>
  <si>
    <t>ObservacionesCN</t>
  </si>
  <si>
    <t>FirmasCN</t>
  </si>
  <si>
    <t>Estimacion</t>
  </si>
  <si>
    <t>Plan de Pruebas Incidencias, Mejoras o Proyectos</t>
  </si>
  <si>
    <t>Acción</t>
  </si>
  <si>
    <t>Fecha Acción</t>
  </si>
  <si>
    <t>Responsable</t>
  </si>
  <si>
    <t>Aprobado por</t>
  </si>
  <si>
    <t>Distribuido a</t>
  </si>
  <si>
    <t>Ingresar o Eliminar Filas &gt;&gt;</t>
  </si>
  <si>
    <t>-</t>
  </si>
  <si>
    <t>+</t>
  </si>
  <si>
    <t>Datos de la Incidencia, Mejora o Proyecto</t>
  </si>
  <si>
    <t>Mesa</t>
  </si>
  <si>
    <t xml:space="preserve">Numero y Nombre </t>
  </si>
  <si>
    <t>Delivery o Gestor</t>
  </si>
  <si>
    <t>Analista de Prueba Lider</t>
  </si>
  <si>
    <t>Descripción de la Incidencia, Mejora o Proyecto</t>
  </si>
  <si>
    <t>¿Incluir esta sección en la copia generada?</t>
  </si>
  <si>
    <t>Si</t>
  </si>
  <si>
    <t>Riesgos asociados al Proyecto, Mejora o Incidencia</t>
  </si>
  <si>
    <t>Promedio</t>
  </si>
  <si>
    <t>Eventos que impactan el proyecto y el producto</t>
  </si>
  <si>
    <t>Impacto</t>
  </si>
  <si>
    <t>Posibilidad Ocurrencia</t>
  </si>
  <si>
    <t>Riesgo</t>
  </si>
  <si>
    <t>Plan de Mitigacion/ Tipo de Prueba</t>
  </si>
  <si>
    <t>Acción tomada en caso de 
reactivación del riesgo</t>
  </si>
  <si>
    <t>Ambientes mal configurados</t>
  </si>
  <si>
    <t>Ambientes sin data</t>
  </si>
  <si>
    <t>Data mal parametrizada</t>
  </si>
  <si>
    <t>Desarrollos no desplegados a tiempo</t>
  </si>
  <si>
    <t>Automatizaciones no desplegadas a tiempo</t>
  </si>
  <si>
    <t>Tipos de Prueba</t>
  </si>
  <si>
    <t>Nombre</t>
  </si>
  <si>
    <t>Sugerida</t>
  </si>
  <si>
    <t>Implementada</t>
  </si>
  <si>
    <t>Observaciones</t>
  </si>
  <si>
    <t>Prueba de usabilidad</t>
  </si>
  <si>
    <t>No</t>
  </si>
  <si>
    <t>Estrategia general</t>
  </si>
  <si>
    <t>Total</t>
  </si>
  <si>
    <t>Actividad</t>
  </si>
  <si>
    <t>Esfuerzo Requerido</t>
  </si>
  <si>
    <t>Unidad</t>
  </si>
  <si>
    <t>Planeación</t>
  </si>
  <si>
    <t>Diseño Casos</t>
  </si>
  <si>
    <t>Ejecución</t>
  </si>
  <si>
    <t>Fuera del alcance</t>
  </si>
  <si>
    <t>Opciones</t>
  </si>
  <si>
    <t>&lt;&lt; Seleccionar Artefacto &gt;&gt;</t>
  </si>
  <si>
    <t>Seleccionar el artefacto a generar y luego seleccionar el botón &lt;&lt; Aceptar &gt;&gt;</t>
  </si>
  <si>
    <t>Generar copia para enviar</t>
  </si>
  <si>
    <t>Generar una copia del Plan de Pruebas</t>
  </si>
  <si>
    <t>Todos los derechos reservados - 2018</t>
  </si>
  <si>
    <t>Carta de Terminación - Producto de Pruebas</t>
  </si>
  <si>
    <t>Datos del proyecto</t>
  </si>
  <si>
    <t>Cliente</t>
  </si>
  <si>
    <t>Nombre de la Incidencia o Mejora</t>
  </si>
  <si>
    <t>Responsable en el cliente</t>
  </si>
  <si>
    <t>Testing Project Leader</t>
  </si>
  <si>
    <t>Tipo de prueba</t>
  </si>
  <si>
    <t>Fuera de alcance:</t>
  </si>
  <si>
    <t xml:space="preserve">Se hace claridad que la entrega de la prueba se complementa con las observaciones que se reportaron en los informes: </t>
  </si>
  <si>
    <t>–</t>
  </si>
  <si>
    <t>De avance de las pruebas</t>
  </si>
  <si>
    <t xml:space="preserve">De cierre (postmortem) </t>
  </si>
  <si>
    <t>Y con los errores, sugerencias y consideraciones planteadas en el bugtracker</t>
  </si>
  <si>
    <t xml:space="preserve">Se hace entrega en cuanto a documentación lo siguiente: </t>
  </si>
  <si>
    <t>Plan general de pruebas</t>
  </si>
  <si>
    <t>Informe de avance de las pruebas</t>
  </si>
  <si>
    <t>Archivo de issues y requerimientos (con sus respectivos estados al salir la versión)</t>
  </si>
  <si>
    <t xml:space="preserve">Test ejecutados </t>
  </si>
  <si>
    <t>Informe de cierre</t>
  </si>
  <si>
    <t>De requerirse repetición de alguna de las pruebas, conforme a lo convenido, ésta se realizará siempre que se solicite dentro de los tres (3) meses siguientes a la fecha de éste documento.</t>
  </si>
  <si>
    <t>Observaciones Adicionales</t>
  </si>
  <si>
    <t>Cordialmente,</t>
  </si>
  <si>
    <t>Cargo</t>
  </si>
  <si>
    <t>Empresa</t>
  </si>
  <si>
    <t>Firma</t>
  </si>
  <si>
    <t>Generar una copia de la carta</t>
  </si>
  <si>
    <t>Carta de Terminación con Condicionamiento - Producto de Pruebas</t>
  </si>
  <si>
    <t>Y con las observaciones que están reportadas en el informe de avance de la prueba y el informe de cierre (postmortem). Por tal razón se da una carta de terminación de la prueba con condicionamiento, acorde a los errores, sugerencias y consideraciones planteadas en el bugtracker.</t>
  </si>
  <si>
    <t>Reportes que generan condicionamiento de la carta de terminación:</t>
  </si>
  <si>
    <t>Funcionalidad</t>
  </si>
  <si>
    <t>Número Issue</t>
  </si>
  <si>
    <t>Descripción Issue</t>
  </si>
  <si>
    <t>Impacto Issue</t>
  </si>
  <si>
    <t>Cómo se mitiga</t>
  </si>
  <si>
    <t>Devolución - Producto de Pruebas</t>
  </si>
  <si>
    <t>Motivos que originaron la Devolución</t>
  </si>
  <si>
    <t>Se han encontrado los siguientes inconvenientes críticos:</t>
  </si>
  <si>
    <t>Riesgos que indican que la versión o release se debe devolver:</t>
  </si>
  <si>
    <t>Esperamos la solución rápida y efectiva de éste inconveniente para reanudar el proceso de pruebas. Por favor avisarnos formalmente cuando estén solucionados los inconvenientes e instalado el aplicativo para reanudar inmediatamente las pruebas.</t>
  </si>
  <si>
    <t xml:space="preserve">Fecha recepción </t>
  </si>
  <si>
    <t>Suspensión - Producto de Pruebas</t>
  </si>
  <si>
    <t>Motivos que originaron la Suspensión</t>
  </si>
  <si>
    <t>Motivo</t>
  </si>
  <si>
    <t>Aplica</t>
  </si>
  <si>
    <t>Aclaración de la Suspensión</t>
  </si>
  <si>
    <t>Ambigüedad crítica en la especificación o documentación</t>
  </si>
  <si>
    <t>Errores críticos que tengan que detener la prueba de la aplicación</t>
  </si>
  <si>
    <t>Problemas de ambiente</t>
  </si>
  <si>
    <r>
      <rPr>
        <b/>
        <sz val="10"/>
        <color theme="1"/>
        <rFont val="Arial"/>
        <family val="2"/>
      </rPr>
      <t>Importante:</t>
    </r>
    <r>
      <rPr>
        <sz val="10"/>
        <color theme="1"/>
        <rFont val="Arial"/>
        <family val="2"/>
      </rPr>
      <t xml:space="preserve"> Suspender una prueba puede implicar para el cliente un incremento del costo de la misma en el momento de retomarla, ya que si el equipo de pruebas responsable no está disponible, deberá realizar la transferencia del conocimiento al equipo que la retomará, en cuyo caso los tiempos se verán afectados.</t>
    </r>
  </si>
  <si>
    <t>Con el fin de comenzar nuevamente a probar, se solicita comunicar formalmente al equipo de pruebas la solución dada al inconveniente que causó la suspensión. 
En espera de la solución de este inconveniente para reanudar el proceso de pruebas.</t>
  </si>
  <si>
    <t xml:space="preserve">Información asociada a la Cancelación </t>
  </si>
  <si>
    <t xml:space="preserve">Nombre de la persona quién dio la orden de cancelación por parte del cliente </t>
  </si>
  <si>
    <t>Se realizó reunión de revisión del bugtracker</t>
  </si>
  <si>
    <t>Motivo dado por el cliente para la cancelación del tipo de prueba</t>
  </si>
  <si>
    <t>Producto</t>
  </si>
  <si>
    <t>Etapas</t>
  </si>
  <si>
    <t>Estado Proyecto</t>
  </si>
  <si>
    <t>Proyecto Terminado? (S/N)</t>
  </si>
  <si>
    <t>Tipo de Actualización</t>
  </si>
  <si>
    <t>Operaciones</t>
  </si>
  <si>
    <t>Mensaje</t>
  </si>
  <si>
    <t>Estado Issue</t>
  </si>
  <si>
    <t>Tipo Issue</t>
  </si>
  <si>
    <t>Naturaleza Issue</t>
  </si>
  <si>
    <t>Accion</t>
  </si>
  <si>
    <t>Operacion</t>
  </si>
  <si>
    <t>Pruebas generales en requisitos</t>
  </si>
  <si>
    <t>Estimación</t>
  </si>
  <si>
    <t>Choucair</t>
  </si>
  <si>
    <t>En proceso</t>
  </si>
  <si>
    <t>Manual</t>
  </si>
  <si>
    <t>Seleccione la Operación…</t>
  </si>
  <si>
    <t>Recuerde que en el cronograma sólo se ingresan esfuerzos efectivos.</t>
  </si>
  <si>
    <t>Assigned</t>
  </si>
  <si>
    <t>Error</t>
  </si>
  <si>
    <t>Accounting</t>
  </si>
  <si>
    <t>Severo</t>
  </si>
  <si>
    <t>Creación</t>
  </si>
  <si>
    <t>Pruebas generales en diseño</t>
  </si>
  <si>
    <t>Suspendido</t>
  </si>
  <si>
    <t>Desde una ruta</t>
  </si>
  <si>
    <t>Adicionar Actividades</t>
  </si>
  <si>
    <t>Para adicionar actividades (entre 1 y 5) debe seleccionar la actividad (columna B) a partir de de la cual se desean insertar y hacer clic en el botón &lt;&lt;Aceptar&gt;&gt;.</t>
  </si>
  <si>
    <t>Canceled</t>
  </si>
  <si>
    <t>Consideración</t>
  </si>
  <si>
    <t>Data</t>
  </si>
  <si>
    <t>Alto</t>
  </si>
  <si>
    <t>Modificación</t>
  </si>
  <si>
    <t>Generar Carta Terminación</t>
  </si>
  <si>
    <t>Pruebas generales en construcción</t>
  </si>
  <si>
    <t>Diseño</t>
  </si>
  <si>
    <t>Proveedor</t>
  </si>
  <si>
    <t xml:space="preserve">Devuelto </t>
  </si>
  <si>
    <t>Por archivo</t>
  </si>
  <si>
    <t>Eliminar Actividad</t>
  </si>
  <si>
    <t>Para eliminar una actividad sólo debe seleccionar en la columna B asociada a ella y hacer clic en el botón &lt;&lt;Aceptar&gt;&gt;. 
La actividad no debe tener información asociada.</t>
  </si>
  <si>
    <t>Closed by Tester</t>
  </si>
  <si>
    <t>Sugerencia</t>
  </si>
  <si>
    <t>Des - Ambiguity</t>
  </si>
  <si>
    <t>Medio</t>
  </si>
  <si>
    <t>Distribución</t>
  </si>
  <si>
    <t>Generar Carta Condicional</t>
  </si>
  <si>
    <t>Prueba de performance</t>
  </si>
  <si>
    <t>Cancelado</t>
  </si>
  <si>
    <t>Adicionar Días</t>
  </si>
  <si>
    <t>Para agregar días al final del cronograma se debe indicar la cantidad (entre 1 y 30) y hacer clic en el botón &lt;&lt;Aceptar&gt;&gt;.</t>
  </si>
  <si>
    <t>Closed Total Regression</t>
  </si>
  <si>
    <t>Hallazgo</t>
  </si>
  <si>
    <t>Des - Concision</t>
  </si>
  <si>
    <t>Bajo</t>
  </si>
  <si>
    <t>Aprobación</t>
  </si>
  <si>
    <t>Generar Carta Devolución</t>
  </si>
  <si>
    <t>Prueba de seguridad</t>
  </si>
  <si>
    <t>Regresión</t>
  </si>
  <si>
    <t>Terminado</t>
  </si>
  <si>
    <t>Eliminar Días</t>
  </si>
  <si>
    <t>Para eliminar días al final del cronograma se debe indicar la cantidad (entre 1 y 30) y hacer clic en el botón &lt;&lt;Aceptar&gt;&gt;. 
Los días no deben tener información asociada.</t>
  </si>
  <si>
    <t>Could not be Replicated</t>
  </si>
  <si>
    <t>Des - Contraposition</t>
  </si>
  <si>
    <t>Generar Carta Suspensión</t>
  </si>
  <si>
    <t>Pruebas AFT</t>
  </si>
  <si>
    <t>Seguimiento y Cierre</t>
  </si>
  <si>
    <t>Does not Apply</t>
  </si>
  <si>
    <t>Documentation</t>
  </si>
  <si>
    <t>Generar Carta Cancelación</t>
  </si>
  <si>
    <t>Duplicate</t>
  </si>
  <si>
    <t>Functional</t>
  </si>
  <si>
    <t>Prueba para aplicaciones móviles</t>
  </si>
  <si>
    <t>Finding</t>
  </si>
  <si>
    <t>Grammar / Spelling</t>
  </si>
  <si>
    <t>Prueba de migración</t>
  </si>
  <si>
    <t>For Analysis</t>
  </si>
  <si>
    <t>GUI</t>
  </si>
  <si>
    <t>Prueba de BI</t>
  </si>
  <si>
    <t>For Assigment</t>
  </si>
  <si>
    <t>Hardware and / or Software</t>
  </si>
  <si>
    <t>Prueba de ERP</t>
  </si>
  <si>
    <t>In Process</t>
  </si>
  <si>
    <t>Parameters</t>
  </si>
  <si>
    <t>Prueba de APM</t>
  </si>
  <si>
    <t>New</t>
  </si>
  <si>
    <t>Performance</t>
  </si>
  <si>
    <t>Next Version</t>
  </si>
  <si>
    <t>Req - Ambiguity</t>
  </si>
  <si>
    <t>Pending for Total Regression</t>
  </si>
  <si>
    <t>Req - Concision</t>
  </si>
  <si>
    <t>Re-opened</t>
  </si>
  <si>
    <t>Req - Contraposition</t>
  </si>
  <si>
    <t>Resolved</t>
  </si>
  <si>
    <t>Sec - Buffer overflow</t>
  </si>
  <si>
    <t>Reviewed by Tester</t>
  </si>
  <si>
    <t>Sec - Cross site scripting (XSS) failures</t>
  </si>
  <si>
    <t>Verified</t>
  </si>
  <si>
    <t>Sec - Denial of service</t>
  </si>
  <si>
    <t>Work as Designed</t>
  </si>
  <si>
    <t>Sec - Error mishandling</t>
  </si>
  <si>
    <t>Sec - Injection errors</t>
  </si>
  <si>
    <t>Sec - Invalid access control</t>
  </si>
  <si>
    <t>Sec - Unsecure configuration management</t>
  </si>
  <si>
    <t>Sec - Unsecure storage</t>
  </si>
  <si>
    <t>Sec - Unvalidated entry</t>
  </si>
  <si>
    <t>Sec -Authentication management and invalid session</t>
  </si>
  <si>
    <t>Security</t>
  </si>
  <si>
    <t>Usability</t>
  </si>
  <si>
    <t>Años</t>
  </si>
  <si>
    <t>Meses</t>
  </si>
  <si>
    <t>Semanas</t>
  </si>
  <si>
    <t>Horas</t>
  </si>
  <si>
    <t>Ausencia del diagrama de arquitectura</t>
  </si>
  <si>
    <t xml:space="preserve">Ambientes inestales </t>
  </si>
  <si>
    <t>Ausencia de estimación para tiempos de solución de bugs por parte de desarrollo</t>
  </si>
  <si>
    <t>Realizar una gestión del ambiente a tiempo para poder verificar los factores necesarios para que el ambiente funcione correctamente</t>
  </si>
  <si>
    <t>Configurar el ambiente de desarrollo con mi maquina con ayuda del desarrollador para poder verificar la funcionalidad a probar</t>
  </si>
  <si>
    <t>Hacer la respectiva gestión de la data en paralelo que se gestiona el ambiente</t>
  </si>
  <si>
    <t>Utilizar la data ya existente con la que se han realizado pruebas anteriormente</t>
  </si>
  <si>
    <t>Verificar de manera oportuna la parametrización de perfiles de usuario y los roles que corresponda a cada uno</t>
  </si>
  <si>
    <t>Tener una buena sincronización con el desarrollador y planear de la mejor meneras las activades y alcances de las caracteristicas</t>
  </si>
  <si>
    <t>Basarse en la data estable para parametrizar de manera correcta la nueva data</t>
  </si>
  <si>
    <t>Mejor planificación y facmentación de las actividades para que estas se cumplan en el tiempo esperado</t>
  </si>
  <si>
    <t>Buena estimación de tiempos para definir un lapzo acorde a la actividad</t>
  </si>
  <si>
    <t>Solicitar diagrama de acquitectura o reunión de contextualización para un mejor entendiento de la arquitectura del aplicativo</t>
  </si>
  <si>
    <t>Escalar el tema a las personas responsables para que este sea elaborado y compartido con el equipo</t>
  </si>
  <si>
    <t>Establecer las horas del día en menos intermitencia se tiene para ejecutar las pruebas</t>
  </si>
  <si>
    <t>Escalar el tema con la parte de capacidad operativa o con los de TI para encontrar una solución oportuna</t>
  </si>
  <si>
    <t>Sugerir, modificar o especificar los requisitos con base a los perfiles de usuarios en el refinamiento</t>
  </si>
  <si>
    <t>Prioprizaciòn de soluciones en el area de desarrollo o implementación de nuevo personal</t>
  </si>
  <si>
    <t>Luis Fernando Pineda Urrego</t>
  </si>
  <si>
    <t>Fernando Pineda Urrego</t>
  </si>
  <si>
    <t>Factores a tener en cuenta durante las pruebas</t>
  </si>
  <si>
    <t>__Se definen niveles de pruebas a aplicar.
__Recursos involucrados.
__Criterios de aceptación.
__Se establece el tiempo para la ejecución de cada una de las pruebas.</t>
  </si>
  <si>
    <t xml:space="preserve">__Las pruebas estarán presentes a lo largo del ciclo de via del desarrollo de la solución o funcionalidad.
__Siempre hay errores.
__Probar exhaustivamente el software es imposible.
__Se debe considerar la actualización del plan de pruebas con el fin de reflejar los cambios que se produzcan en los requisitos y/o proceso de desarrollo del producto, solución, característica o funcionalidad.
</t>
  </si>
  <si>
    <t>Temas principales a verificar y/o automatizar</t>
  </si>
  <si>
    <t xml:space="preserve">__Se verificará que el usuario pueda registrar un paro de manera exitosa y este a su vez pueda ser visualizado por la parte solucionadora del paro.
__Se verificará que al memento de autenticarse, el usuario pueda visualizar el modulo correspondiente a su perfil 																																																											</t>
  </si>
  <si>
    <t>No se tendrá en cuenta los distintos modulos y perfiles distintos al flujo de paros y atención del paro.
No se tendrá en cuenta las pruebas de seguridad requeridad para el aplicativo, ya que estas deben ser realizadas por el analista de seguridad.
No se tendrá en cuenta las pruebas performance del aplicativo en esta planeación de pruebas.</t>
  </si>
  <si>
    <t>Se realiza la planeación de las pruebas en las cuales se estipula la descripción de la incidencia, riegos asociados, tipos de pruebas, estrategia general para la ejecución de pruebas, factores dentro y fuera del alcance.</t>
  </si>
  <si>
    <t>Proyecto like me E-comerce</t>
  </si>
  <si>
    <t>El proyecto de Like me, es una plataforma que tiene como objetivo poder comercialar los productos que fabrica y saca al mercado por medio de la plataforma ya antes mencionada, permitiendo a su vez alcanzar nichos de mercado que no son posibles de manera fisica.</t>
  </si>
  <si>
    <t>Con esta plataforma se busca poder comercializar los productos de la comprañía por medios digitales, llegar a todo tipo de cliente potencial que se identifique con los articulos de la compañía, creado asi una interacción directa entre el usuario y sus productos.</t>
  </si>
  <si>
    <t>Se realizarán pruebas de usabilidad, las cuales se ejecutarán de manera manual con el fin de identificar y conocer el flujo del aplicativo y tratar de detectar los errores inesperados del sistema que no pueden ser detectados por el robot de pruebas.
A su vez se realizará la automatización de los flujos mas importantes y criticos para la operación y funcionamiento de la compañía, estos se realizaran en navegadores moviles Android y IOS</t>
  </si>
  <si>
    <t>El proyecto del E-comerce Like me, busca comercializar sus productos de manera virtual, avarcando asi nichos de mercados de segmentos sociales mas vinculados con la era digital.
Durante el proceso de pruebas se realizará automatización de los flujos descritos en las historias de usuario:
1-inicia sesión.
2- resumen compra.
3- Checkout footer.
4- Header.
5- Info personal info envio.
6- Metodo de envio.
7- Resumen.
8- Pago información.
9- Metodo de pago.
Se considera de gran importancia la ejecución del plan de pruebas propuesto, haciendo de gran importancia la planeación de las mismas, lo que en consecuencia hace necesario tener claro los siguientes planteamientos: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</si>
</sst>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43" formatCode="_-* #,##0.00_-;\-* #,##0.00_-;_-* &quot;-&quot;??_-;_-@_-"/>
    <numFmt numFmtId="164" formatCode="_(&quot;$&quot;\ * #,##0.00_);_(&quot;$&quot;\ * \(#,##0.00\);_(&quot;$&quot;\ * &quot;-&quot;??_);_(@_)"/>
    <numFmt numFmtId="165" formatCode="_(* #,##0.00_);_(* \(#,##0.00\);_(* &quot;-&quot;??_);_(@_)"/>
    <numFmt numFmtId="166" formatCode="_ * #,##0.00_ ;_ * \-#,##0.00_ ;_ * &quot;-&quot;??_ ;_ @_ "/>
    <numFmt numFmtId="167" formatCode="_(&quot;$&quot;* #,##0.00_);_(&quot;$&quot;* \(#,##0.00\);_(&quot;$&quot;* &quot;-&quot;??_);_(@_)"/>
    <numFmt numFmtId="168" formatCode="_ &quot;$&quot;\ * #,##0.00_ ;_ &quot;$&quot;\ * \-#,##0.00_ ;_ &quot;$&quot;\ * &quot;-&quot;??_ ;_ @_ "/>
    <numFmt numFmtId="169" formatCode="_([$€-2]\ * #,##0.00_);_([$€-2]\ * \(#,##0.00\);_([$€-2]\ * &quot;-&quot;??_)"/>
    <numFmt numFmtId="170" formatCode="_ [$€-2]* #,##0.00_ ;_ [$€-2]* \-#,##0.00_ ;_ [$€-2]* &quot;-&quot;??_ "/>
    <numFmt numFmtId="171" formatCode="0.0"/>
  </numFmts>
  <fonts count="45" x14ac:knownFonts="1">
    <font>
      <sz val="11"/>
      <color theme="1"/>
      <name val="Calibri"/>
      <family val="2"/>
      <scheme val="minor"/>
    </font>
    <font>
      <sz val="11"/>
      <color indexed="8"/>
      <name val="Calibri"/>
      <family val="2"/>
    </font>
    <font>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2"/>
    </font>
    <font>
      <sz val="11"/>
      <color indexed="10"/>
      <name val="Calibri"/>
      <family val="2"/>
    </font>
    <font>
      <sz val="10"/>
      <name val="Arial"/>
      <family val="2"/>
    </font>
    <font>
      <sz val="11"/>
      <color theme="1"/>
      <name val="Calibri"/>
      <family val="2"/>
      <scheme val="minor"/>
    </font>
    <font>
      <sz val="10"/>
      <color theme="1"/>
      <name val="Arial"/>
      <family val="2"/>
    </font>
    <font>
      <sz val="11"/>
      <color indexed="60"/>
      <name val="Calibri"/>
      <family val="2"/>
    </font>
    <font>
      <sz val="11"/>
      <color rgb="FFFF0000"/>
      <name val="Calibri"/>
      <family val="2"/>
      <charset val="1"/>
    </font>
    <font>
      <b/>
      <sz val="11"/>
      <color indexed="8"/>
      <name val="Calibri"/>
      <family val="2"/>
    </font>
    <font>
      <u/>
      <sz val="11"/>
      <color theme="10"/>
      <name val="Calibri"/>
      <family val="2"/>
    </font>
    <font>
      <sz val="8"/>
      <color theme="1"/>
      <name val="Calibri"/>
      <family val="2"/>
      <scheme val="minor"/>
    </font>
    <font>
      <sz val="10"/>
      <name val="Arial"/>
      <family val="2"/>
    </font>
    <font>
      <b/>
      <sz val="16"/>
      <color theme="1"/>
      <name val="Arial"/>
      <family val="2"/>
    </font>
    <font>
      <sz val="8"/>
      <color theme="1"/>
      <name val="Arial"/>
      <family val="2"/>
    </font>
    <font>
      <sz val="8"/>
      <color rgb="FF0070C0"/>
      <name val="Arial"/>
      <family val="2"/>
    </font>
    <font>
      <sz val="8"/>
      <color theme="0"/>
      <name val="Arial"/>
      <family val="2"/>
    </font>
    <font>
      <sz val="8"/>
      <color theme="0" tint="-0.499984740745262"/>
      <name val="Arial"/>
      <family val="2"/>
    </font>
    <font>
      <b/>
      <sz val="10"/>
      <color theme="1"/>
      <name val="Arial"/>
      <family val="2"/>
    </font>
    <font>
      <sz val="9"/>
      <color theme="1"/>
      <name val="Calibri"/>
      <family val="2"/>
      <scheme val="minor"/>
    </font>
    <font>
      <sz val="11"/>
      <color theme="3" tint="0.39997558519241921"/>
      <name val="Arial"/>
      <family val="2"/>
    </font>
    <font>
      <b/>
      <sz val="11"/>
      <color theme="1"/>
      <name val="Arial"/>
      <family val="2"/>
    </font>
    <font>
      <sz val="10"/>
      <color rgb="FF303030"/>
      <name val="Arial"/>
      <family val="2"/>
    </font>
    <font>
      <sz val="12"/>
      <color theme="1"/>
      <name val="Arial"/>
      <family val="2"/>
    </font>
    <font>
      <sz val="11"/>
      <color theme="0" tint="-0.249977111117893"/>
      <name val="Arial"/>
      <family val="2"/>
    </font>
    <font>
      <sz val="10"/>
      <color theme="0"/>
      <name val="Arial"/>
      <family val="2"/>
    </font>
    <font>
      <sz val="9"/>
      <color theme="5" tint="-0.249977111117893"/>
      <name val="Arial"/>
      <family val="2"/>
    </font>
    <font>
      <sz val="8"/>
      <color indexed="81"/>
      <name val="Tahoma"/>
      <family val="2"/>
    </font>
    <font>
      <sz val="11"/>
      <color theme="1"/>
      <name val="Arial"/>
      <family val="2"/>
    </font>
    <font>
      <sz val="8"/>
      <color theme="0" tint="-0.34998626667073579"/>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tint="-4.9989318521683403E-2"/>
        <bgColor indexed="64"/>
      </patternFill>
    </fill>
    <fill>
      <patternFill patternType="solid">
        <fgColor indexed="43"/>
      </patternFill>
    </fill>
    <fill>
      <patternFill patternType="solid">
        <fgColor theme="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CC"/>
      </patternFill>
    </fill>
    <fill>
      <patternFill patternType="solid">
        <fgColor rgb="FFFFFFCC"/>
        <bgColor indexed="64"/>
      </patternFill>
    </fill>
    <fill>
      <patternFill patternType="solid">
        <fgColor theme="4" tint="0.79998168889431442"/>
        <bgColor indexed="64"/>
      </patternFill>
    </fill>
    <fill>
      <patternFill patternType="solid">
        <fgColor rgb="FFEFECE1"/>
        <bgColor indexed="64"/>
      </patternFill>
    </fill>
    <fill>
      <patternFill patternType="solid">
        <fgColor rgb="FFDDE6F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F44236"/>
        <bgColor indexed="64"/>
      </patternFill>
    </fill>
    <fill>
      <patternFill patternType="solid">
        <fgColor theme="0"/>
        <bgColor indexed="64"/>
      </patternFill>
    </fill>
    <fill>
      <patternFill patternType="solid">
        <fgColor theme="3" tint="0.79998168889431442"/>
        <bgColor indexed="64"/>
      </patternFill>
    </fill>
  </fills>
  <borders count="5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B2B2B2"/>
      </left>
      <right style="thin">
        <color rgb="FFB2B2B2"/>
      </right>
      <top style="thin">
        <color rgb="FFB2B2B2"/>
      </top>
      <bottom style="thin">
        <color rgb="FFB2B2B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bottom style="medium">
        <color theme="1" tint="4.9989318521683403E-2"/>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top/>
      <bottom style="thin">
        <color theme="0"/>
      </bottom>
      <diagonal/>
    </border>
    <border>
      <left/>
      <right/>
      <top/>
      <bottom style="thin">
        <color rgb="FFFFFFFF"/>
      </bottom>
      <diagonal/>
    </border>
    <border>
      <left style="thin">
        <color theme="0"/>
      </left>
      <right style="thin">
        <color theme="0"/>
      </right>
      <top/>
      <bottom style="thin">
        <color theme="0"/>
      </bottom>
      <diagonal/>
    </border>
    <border>
      <left/>
      <right style="thin">
        <color theme="0"/>
      </right>
      <top/>
      <bottom/>
      <diagonal/>
    </border>
    <border>
      <left/>
      <right/>
      <top/>
      <bottom style="thin">
        <color theme="0" tint="-0.14996795556505021"/>
      </bottom>
      <diagonal/>
    </border>
    <border>
      <left style="thin">
        <color theme="0"/>
      </left>
      <right/>
      <top/>
      <bottom/>
      <diagonal/>
    </border>
    <border>
      <left/>
      <right/>
      <top style="thin">
        <color theme="0"/>
      </top>
      <bottom/>
      <diagonal/>
    </border>
    <border>
      <left/>
      <right/>
      <top style="medium">
        <color theme="1" tint="4.9989318521683403E-2"/>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style="thin">
        <color rgb="FFFFFFFF"/>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style="thin">
        <color theme="0"/>
      </left>
      <right/>
      <top/>
      <bottom style="thin">
        <color rgb="FFFFFFFF"/>
      </bottom>
      <diagonal/>
    </border>
    <border>
      <left/>
      <right style="thin">
        <color theme="0"/>
      </right>
      <top/>
      <bottom style="thin">
        <color rgb="FFFFFFFF"/>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rgb="FFFFFFFF"/>
      </top>
      <bottom style="thin">
        <color rgb="FFFFFFFF"/>
      </bottom>
      <diagonal/>
    </border>
    <border>
      <left style="thin">
        <color theme="0"/>
      </left>
      <right style="thin">
        <color theme="0"/>
      </right>
      <top style="thin">
        <color rgb="FFFFFFFF"/>
      </top>
      <bottom style="thin">
        <color rgb="FFFFFFFF"/>
      </bottom>
      <diagonal/>
    </border>
    <border>
      <left style="thin">
        <color theme="0"/>
      </left>
      <right style="thin">
        <color theme="0"/>
      </right>
      <top style="thin">
        <color theme="0"/>
      </top>
      <bottom/>
      <diagonal/>
    </border>
    <border>
      <left/>
      <right/>
      <top style="thin">
        <color theme="0" tint="-0.14996795556505021"/>
      </top>
      <bottom/>
      <diagonal/>
    </border>
    <border>
      <left style="thin">
        <color rgb="FFFFFFFF"/>
      </left>
      <right/>
      <top/>
      <bottom/>
      <diagonal/>
    </border>
    <border>
      <left/>
      <right style="thin">
        <color rgb="FFFFFFFF"/>
      </right>
      <top/>
      <bottom/>
      <diagonal/>
    </border>
    <border>
      <left style="thin">
        <color rgb="FFFFFFFF"/>
      </left>
      <right/>
      <top/>
      <bottom style="thin">
        <color rgb="FFFFFFFF"/>
      </bottom>
      <diagonal/>
    </border>
    <border>
      <left/>
      <right style="thin">
        <color rgb="FFFFFFFF"/>
      </right>
      <top/>
      <bottom style="thin">
        <color rgb="FFFFFFFF"/>
      </bottom>
      <diagonal/>
    </border>
  </borders>
  <cellStyleXfs count="357">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0" fontId="6" fillId="3" borderId="0" applyNumberFormat="0" applyBorder="0" applyAlignment="0" applyProtection="0"/>
    <xf numFmtId="0" fontId="10" fillId="4" borderId="0" applyNumberFormat="0" applyBorder="0" applyAlignment="0" applyProtection="0"/>
    <xf numFmtId="0" fontId="7" fillId="20" borderId="1" applyNumberFormat="0" applyAlignment="0" applyProtection="0"/>
    <xf numFmtId="0" fontId="8" fillId="21" borderId="2" applyNumberFormat="0" applyAlignment="0" applyProtection="0"/>
    <xf numFmtId="0" fontId="15" fillId="0" borderId="3" applyNumberFormat="0" applyFill="0" applyAlignment="0" applyProtection="0"/>
    <xf numFmtId="0" fontId="8" fillId="21" borderId="2" applyNumberFormat="0" applyAlignment="0" applyProtection="0"/>
    <xf numFmtId="165" fontId="2" fillId="0" borderId="0" applyFont="0" applyFill="0" applyBorder="0" applyAlignment="0" applyProtection="0"/>
    <xf numFmtId="0" fontId="4" fillId="0" borderId="0" applyNumberFormat="0" applyFont="0" applyFill="0" applyBorder="0" applyAlignment="0" applyProtection="0"/>
    <xf numFmtId="0" fontId="1" fillId="0" borderId="0" applyNumberFormat="0" applyFont="0" applyFill="0" applyBorder="0" applyAlignment="0" applyProtection="0"/>
    <xf numFmtId="0" fontId="13" fillId="0" borderId="0" applyNumberFormat="0" applyFill="0" applyBorder="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0" fontId="14" fillId="7" borderId="1" applyNumberFormat="0" applyAlignment="0" applyProtection="0"/>
    <xf numFmtId="2" fontId="4" fillId="0" borderId="0" applyFill="0" applyBorder="0" applyAlignment="0" applyProtection="0"/>
    <xf numFmtId="2" fontId="1" fillId="0" borderId="0" applyFill="0" applyBorder="0" applyAlignment="0" applyProtection="0"/>
    <xf numFmtId="0" fontId="9" fillId="0" borderId="0" applyNumberFormat="0" applyFill="0" applyBorder="0" applyAlignment="0" applyProtection="0"/>
    <xf numFmtId="0" fontId="10" fillId="4" borderId="0" applyNumberFormat="0" applyBorder="0" applyAlignment="0" applyProtection="0"/>
    <xf numFmtId="0" fontId="11" fillId="0" borderId="4" applyNumberFormat="0" applyFill="0" applyAlignment="0" applyProtection="0"/>
    <xf numFmtId="0" fontId="12" fillId="0" borderId="5" applyNumberFormat="0" applyFill="0" applyAlignment="0" applyProtection="0"/>
    <xf numFmtId="0" fontId="13" fillId="0" borderId="6" applyNumberFormat="0" applyFill="0" applyAlignment="0" applyProtection="0"/>
    <xf numFmtId="0" fontId="13" fillId="0" borderId="0" applyNumberFormat="0" applyFill="0" applyBorder="0" applyAlignment="0" applyProtection="0"/>
    <xf numFmtId="0" fontId="14" fillId="7" borderId="1" applyNumberFormat="0" applyAlignment="0" applyProtection="0"/>
    <xf numFmtId="0" fontId="15" fillId="0" borderId="3" applyNumberFormat="0" applyFill="0" applyAlignment="0" applyProtection="0"/>
    <xf numFmtId="166" fontId="2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6" fontId="20"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2" fillId="0" borderId="0"/>
    <xf numFmtId="0" fontId="2" fillId="0" borderId="0"/>
    <xf numFmtId="0" fontId="2" fillId="0" borderId="0">
      <alignment wrapText="1"/>
    </xf>
    <xf numFmtId="0" fontId="2" fillId="0" borderId="0"/>
    <xf numFmtId="0" fontId="20" fillId="0" borderId="0"/>
    <xf numFmtId="0" fontId="2" fillId="0" borderId="0"/>
    <xf numFmtId="0" fontId="2" fillId="0" borderId="0">
      <alignment wrapText="1"/>
    </xf>
    <xf numFmtId="0" fontId="2" fillId="0" borderId="0">
      <alignment wrapText="1"/>
    </xf>
    <xf numFmtId="0" fontId="2" fillId="0" borderId="0">
      <alignment wrapText="1"/>
    </xf>
    <xf numFmtId="0" fontId="2" fillId="0" borderId="0">
      <alignment wrapText="1"/>
    </xf>
    <xf numFmtId="0" fontId="2" fillId="0" borderId="0"/>
    <xf numFmtId="0" fontId="3" fillId="0" borderId="0">
      <alignment vertical="center"/>
    </xf>
    <xf numFmtId="0" fontId="2" fillId="0" borderId="0"/>
    <xf numFmtId="0" fontId="2" fillId="0" borderId="0"/>
    <xf numFmtId="0" fontId="3" fillId="0" borderId="0">
      <alignment vertical="center"/>
    </xf>
    <xf numFmtId="0" fontId="20" fillId="0" borderId="0"/>
    <xf numFmtId="0" fontId="20" fillId="0" borderId="0"/>
    <xf numFmtId="0" fontId="2" fillId="0" borderId="0"/>
    <xf numFmtId="0" fontId="21" fillId="0" borderId="0"/>
    <xf numFmtId="0" fontId="2" fillId="0" borderId="0">
      <alignment wrapText="1"/>
    </xf>
    <xf numFmtId="0" fontId="20" fillId="0" borderId="0"/>
    <xf numFmtId="0" fontId="2" fillId="0" borderId="0">
      <alignment wrapText="1"/>
    </xf>
    <xf numFmtId="0" fontId="2" fillId="0" borderId="0">
      <alignment wrapText="1"/>
    </xf>
    <xf numFmtId="0" fontId="2" fillId="0" borderId="0">
      <alignment wrapText="1"/>
    </xf>
    <xf numFmtId="0" fontId="20" fillId="0" borderId="0"/>
    <xf numFmtId="0" fontId="2" fillId="0" borderId="0"/>
    <xf numFmtId="0" fontId="19" fillId="0" borderId="0">
      <alignment wrapText="1"/>
    </xf>
    <xf numFmtId="0" fontId="4"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4" fillId="22" borderId="7" applyNumberFormat="0" applyFont="0" applyAlignment="0" applyProtection="0"/>
    <xf numFmtId="0" fontId="1" fillId="22" borderId="7" applyNumberFormat="0" applyFont="0" applyAlignment="0" applyProtection="0"/>
    <xf numFmtId="0" fontId="1" fillId="22" borderId="7" applyNumberFormat="0" applyFont="0" applyAlignment="0" applyProtection="0"/>
    <xf numFmtId="0" fontId="2" fillId="22"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9" fontId="20"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xf numFmtId="9" fontId="21" fillId="0" borderId="0" applyFont="0" applyFill="0" applyBorder="0" applyAlignment="0" applyProtection="0"/>
    <xf numFmtId="9" fontId="2" fillId="0" borderId="0" applyFont="0" applyFill="0" applyBorder="0" applyAlignment="0" applyProtection="0"/>
    <xf numFmtId="9" fontId="20" fillId="0" borderId="0" applyFont="0" applyFill="0" applyBorder="0" applyAlignment="0" applyProtection="0"/>
    <xf numFmtId="9" fontId="19" fillId="0" borderId="0" applyFont="0" applyFill="0" applyBorder="0" applyAlignment="0" applyProtection="0">
      <alignment wrapText="1"/>
    </xf>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2"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7" fillId="20" borderId="1" applyNumberFormat="0" applyAlignment="0" applyProtection="0"/>
    <xf numFmtId="0" fontId="7" fillId="20" borderId="1" applyNumberFormat="0" applyAlignment="0" applyProtection="0"/>
    <xf numFmtId="0" fontId="2" fillId="0" borderId="0"/>
    <xf numFmtId="0" fontId="8" fillId="21" borderId="2" applyNumberFormat="0" applyAlignment="0" applyProtection="0"/>
    <xf numFmtId="0" fontId="8" fillId="21" borderId="2" applyNumberFormat="0" applyAlignment="0" applyProtection="0"/>
    <xf numFmtId="169" fontId="1"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10" fillId="4" borderId="0" applyNumberFormat="0" applyBorder="0" applyAlignment="0" applyProtection="0"/>
    <xf numFmtId="0" fontId="10" fillId="4" borderId="0" applyNumberFormat="0" applyBorder="0" applyAlignment="0" applyProtection="0"/>
    <xf numFmtId="0" fontId="11" fillId="0" borderId="4"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3" fillId="0" borderId="6" applyNumberFormat="0" applyFill="0" applyAlignment="0" applyProtection="0"/>
    <xf numFmtId="0" fontId="13" fillId="0" borderId="6" applyNumberFormat="0" applyFill="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4" fillId="7" borderId="1" applyNumberFormat="0" applyAlignment="0" applyProtection="0"/>
    <xf numFmtId="0" fontId="14" fillId="7" borderId="1" applyNumberFormat="0" applyAlignment="0" applyProtection="0"/>
    <xf numFmtId="0" fontId="15" fillId="0" borderId="3" applyNumberFormat="0" applyFill="0" applyAlignment="0" applyProtection="0"/>
    <xf numFmtId="0" fontId="15" fillId="0" borderId="3" applyNumberFormat="0" applyFill="0" applyAlignment="0" applyProtection="0"/>
    <xf numFmtId="0" fontId="22" fillId="24" borderId="0" applyNumberFormat="0" applyBorder="0" applyAlignment="0" applyProtection="0"/>
    <xf numFmtId="0" fontId="22"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0" fillId="0" borderId="0"/>
    <xf numFmtId="0" fontId="2" fillId="0" borderId="0"/>
    <xf numFmtId="0" fontId="2" fillId="0" borderId="0"/>
    <xf numFmtId="0" fontId="2" fillId="0" borderId="0"/>
    <xf numFmtId="0" fontId="1" fillId="22" borderId="7" applyNumberFormat="0" applyFont="0" applyAlignment="0" applyProtection="0"/>
    <xf numFmtId="0" fontId="1" fillId="22" borderId="7" applyNumberFormat="0" applyFont="0" applyAlignment="0" applyProtection="0"/>
    <xf numFmtId="0" fontId="16" fillId="20" borderId="8" applyNumberFormat="0" applyAlignment="0" applyProtection="0"/>
    <xf numFmtId="0" fontId="16" fillId="20" borderId="8" applyNumberFormat="0" applyAlignment="0" applyProtection="0"/>
    <xf numFmtId="0" fontId="23" fillId="0" borderId="0"/>
    <xf numFmtId="0" fontId="17" fillId="0" borderId="0" applyNumberFormat="0" applyFill="0" applyBorder="0" applyAlignment="0" applyProtection="0"/>
    <xf numFmtId="0" fontId="17" fillId="0" borderId="0" applyNumberFormat="0" applyFill="0" applyBorder="0" applyAlignment="0" applyProtection="0"/>
    <xf numFmtId="0" fontId="24" fillId="0" borderId="9" applyNumberFormat="0" applyFill="0" applyAlignment="0" applyProtection="0"/>
    <xf numFmtId="0" fontId="24" fillId="0" borderId="9" applyNumberFormat="0" applyFill="0" applyAlignment="0" applyProtection="0"/>
    <xf numFmtId="0" fontId="18" fillId="0" borderId="0" applyNumberFormat="0" applyFill="0" applyBorder="0" applyAlignment="0" applyProtection="0"/>
    <xf numFmtId="0" fontId="18" fillId="0" borderId="0" applyNumberFormat="0" applyFill="0" applyBorder="0" applyAlignment="0" applyProtection="0"/>
    <xf numFmtId="165" fontId="20" fillId="0" borderId="0" applyFont="0" applyFill="0" applyBorder="0" applyAlignment="0" applyProtection="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2" fillId="0" borderId="0">
      <alignment wrapText="1"/>
    </xf>
    <xf numFmtId="9" fontId="2" fillId="0" borderId="0" applyFont="0" applyFill="0" applyBorder="0" applyAlignment="0" applyProtection="0">
      <alignment wrapText="1"/>
    </xf>
    <xf numFmtId="0" fontId="27" fillId="0" borderId="0"/>
    <xf numFmtId="168"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 fillId="0" borderId="0"/>
    <xf numFmtId="0" fontId="20" fillId="0" borderId="0"/>
    <xf numFmtId="0" fontId="3" fillId="0" borderId="0">
      <alignment vertical="center"/>
    </xf>
    <xf numFmtId="0" fontId="3" fillId="0" borderId="0">
      <alignment vertical="center"/>
    </xf>
    <xf numFmtId="0" fontId="2" fillId="0" borderId="0"/>
    <xf numFmtId="0" fontId="2" fillId="0" borderId="0"/>
    <xf numFmtId="0" fontId="2"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0" fontId="20" fillId="0" borderId="0"/>
    <xf numFmtId="0" fontId="20" fillId="0" borderId="0"/>
    <xf numFmtId="170"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 fillId="0" borderId="0" applyFont="0" applyFill="0" applyBorder="0" applyAlignment="0" applyProtection="0"/>
    <xf numFmtId="0" fontId="2" fillId="0" borderId="0"/>
    <xf numFmtId="0" fontId="2" fillId="0" borderId="0"/>
    <xf numFmtId="164" fontId="20" fillId="0" borderId="0" applyFont="0" applyFill="0" applyBorder="0" applyAlignment="0" applyProtection="0"/>
    <xf numFmtId="164" fontId="2" fillId="0" borderId="0" applyFont="0" applyFill="0" applyBorder="0" applyAlignment="0" applyProtection="0"/>
    <xf numFmtId="0" fontId="20" fillId="0" borderId="0"/>
    <xf numFmtId="0" fontId="20" fillId="0" borderId="0"/>
    <xf numFmtId="0" fontId="20" fillId="0" borderId="0"/>
    <xf numFmtId="0" fontId="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 fillId="0" borderId="0"/>
    <xf numFmtId="0" fontId="20" fillId="0" borderId="0"/>
    <xf numFmtId="0" fontId="20" fillId="0" borderId="0"/>
    <xf numFmtId="0" fontId="20" fillId="0" borderId="0"/>
    <xf numFmtId="0" fontId="2" fillId="28" borderId="10" applyNumberFormat="0" applyFont="0" applyAlignment="0" applyProtection="0"/>
    <xf numFmtId="0" fontId="2" fillId="28" borderId="10" applyNumberFormat="0" applyFont="0" applyAlignment="0" applyProtection="0"/>
    <xf numFmtId="0" fontId="2" fillId="28" borderId="10"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25">
    <xf numFmtId="0" fontId="0" fillId="0" borderId="0" xfId="0"/>
    <xf numFmtId="0" fontId="26" fillId="0" borderId="0" xfId="0" applyFont="1"/>
    <xf numFmtId="0" fontId="34" fillId="0" borderId="0" xfId="0" applyFont="1"/>
    <xf numFmtId="0" fontId="35" fillId="0" borderId="0" xfId="0" applyFont="1" applyAlignment="1">
      <alignment horizontal="center" vertical="top"/>
    </xf>
    <xf numFmtId="0" fontId="37" fillId="0" borderId="12" xfId="0" quotePrefix="1" applyFont="1" applyBorder="1" applyAlignment="1">
      <alignment vertical="center" wrapText="1"/>
    </xf>
    <xf numFmtId="0" fontId="37" fillId="0" borderId="12" xfId="0" quotePrefix="1" applyFont="1" applyBorder="1" applyAlignment="1">
      <alignment horizontal="left" vertical="center" wrapText="1"/>
    </xf>
    <xf numFmtId="0" fontId="37" fillId="0" borderId="13" xfId="0" quotePrefix="1" applyFont="1" applyBorder="1" applyAlignment="1">
      <alignment horizontal="left" vertical="center" wrapText="1"/>
    </xf>
    <xf numFmtId="0" fontId="37" fillId="0" borderId="12" xfId="0" applyFont="1" applyBorder="1" applyAlignment="1">
      <alignment vertical="center" wrapText="1"/>
    </xf>
    <xf numFmtId="0" fontId="37" fillId="0" borderId="13" xfId="0" applyFont="1" applyBorder="1" applyAlignment="1">
      <alignment horizontal="left" vertical="center" wrapText="1"/>
    </xf>
    <xf numFmtId="0" fontId="21" fillId="0" borderId="0" xfId="0" applyFont="1"/>
    <xf numFmtId="0" fontId="37" fillId="0" borderId="12" xfId="0" applyFont="1" applyBorder="1" applyAlignment="1">
      <alignment horizontal="left" vertical="center" wrapText="1"/>
    </xf>
    <xf numFmtId="0" fontId="33" fillId="25" borderId="12" xfId="0" applyFont="1" applyFill="1" applyBorder="1" applyAlignment="1">
      <alignment horizontal="left" vertical="center" wrapText="1"/>
    </xf>
    <xf numFmtId="0" fontId="33" fillId="25" borderId="12" xfId="0" quotePrefix="1" applyFont="1" applyFill="1" applyBorder="1" applyAlignment="1">
      <alignment horizontal="left" vertical="center" wrapText="1"/>
    </xf>
    <xf numFmtId="0" fontId="33" fillId="25" borderId="12" xfId="0" applyFont="1" applyFill="1" applyBorder="1" applyAlignment="1">
      <alignment horizontal="left" vertical="center"/>
    </xf>
    <xf numFmtId="0" fontId="21" fillId="30" borderId="22" xfId="0" applyFont="1" applyFill="1" applyBorder="1" applyAlignment="1" applyProtection="1">
      <alignment horizontal="left" vertical="center" indent="1"/>
      <protection locked="0"/>
    </xf>
    <xf numFmtId="0" fontId="21" fillId="26" borderId="22" xfId="0" applyFont="1" applyFill="1" applyBorder="1"/>
    <xf numFmtId="0" fontId="21" fillId="25" borderId="22" xfId="0" applyFont="1" applyFill="1" applyBorder="1" applyAlignment="1">
      <alignment horizontal="left" vertical="center" indent="1"/>
    </xf>
    <xf numFmtId="0" fontId="21" fillId="30" borderId="22" xfId="0" applyFont="1" applyFill="1" applyBorder="1" applyAlignment="1" applyProtection="1">
      <alignment horizontal="left" indent="1"/>
      <protection locked="0"/>
    </xf>
    <xf numFmtId="0" fontId="31" fillId="0" borderId="27" xfId="0" applyFont="1" applyBorder="1" applyAlignment="1">
      <alignment horizontal="center" vertical="center"/>
    </xf>
    <xf numFmtId="0" fontId="0" fillId="0" borderId="27" xfId="0" applyBorder="1"/>
    <xf numFmtId="0" fontId="21" fillId="30" borderId="22" xfId="0" applyFont="1" applyFill="1" applyBorder="1" applyAlignment="1" applyProtection="1">
      <alignment horizontal="right"/>
      <protection locked="0"/>
    </xf>
    <xf numFmtId="0" fontId="30" fillId="0" borderId="0" xfId="0" applyFont="1" applyAlignment="1">
      <alignment horizontal="left" vertical="top"/>
    </xf>
    <xf numFmtId="0" fontId="36" fillId="0" borderId="21" xfId="0" applyFont="1" applyBorder="1" applyAlignment="1">
      <alignment horizontal="left" vertical="center" indent="1"/>
    </xf>
    <xf numFmtId="0" fontId="36" fillId="0" borderId="21" xfId="0" applyFont="1" applyBorder="1" applyAlignment="1">
      <alignment vertical="center"/>
    </xf>
    <xf numFmtId="0" fontId="21" fillId="30" borderId="22" xfId="0" applyFont="1" applyFill="1" applyBorder="1"/>
    <xf numFmtId="0" fontId="36" fillId="0" borderId="21" xfId="0" applyFont="1" applyBorder="1"/>
    <xf numFmtId="0" fontId="36" fillId="0" borderId="0" xfId="0" applyFont="1" applyAlignment="1">
      <alignment horizontal="left" vertical="center" indent="1"/>
    </xf>
    <xf numFmtId="0" fontId="36" fillId="0" borderId="0" xfId="0" applyFont="1"/>
    <xf numFmtId="0" fontId="29" fillId="0" borderId="0" xfId="0" applyFont="1" applyAlignment="1">
      <alignment horizontal="right" vertical="center"/>
    </xf>
    <xf numFmtId="0" fontId="29" fillId="0" borderId="0" xfId="0" applyFont="1" applyAlignment="1">
      <alignment horizontal="center" vertical="center"/>
    </xf>
    <xf numFmtId="0" fontId="29" fillId="0" borderId="0" xfId="0" applyFont="1" applyAlignment="1">
      <alignment vertical="center"/>
    </xf>
    <xf numFmtId="0" fontId="0" fillId="0" borderId="0" xfId="0" applyAlignment="1">
      <alignment horizontal="center" vertical="center"/>
    </xf>
    <xf numFmtId="0" fontId="21" fillId="26" borderId="22" xfId="0" applyFont="1" applyFill="1" applyBorder="1" applyAlignment="1">
      <alignment vertical="center"/>
    </xf>
    <xf numFmtId="0" fontId="39" fillId="0" borderId="0" xfId="0" applyFont="1" applyAlignment="1">
      <alignment vertical="top"/>
    </xf>
    <xf numFmtId="0" fontId="21" fillId="0" borderId="0" xfId="0" applyFont="1" applyAlignment="1">
      <alignment horizontal="justify" vertical="top" wrapText="1"/>
    </xf>
    <xf numFmtId="0" fontId="21" fillId="0" borderId="0" xfId="0" applyFont="1" applyAlignment="1">
      <alignment horizontal="justify" vertical="center" wrapText="1"/>
    </xf>
    <xf numFmtId="0" fontId="21" fillId="0" borderId="0" xfId="0" applyFont="1" applyAlignment="1">
      <alignment vertical="center"/>
    </xf>
    <xf numFmtId="0" fontId="21" fillId="0" borderId="0" xfId="0" applyFont="1" applyAlignment="1">
      <alignment horizontal="left" vertical="center"/>
    </xf>
    <xf numFmtId="0" fontId="0" fillId="0" borderId="0" xfId="0" applyAlignment="1">
      <alignment vertical="center"/>
    </xf>
    <xf numFmtId="0" fontId="30" fillId="0" borderId="0" xfId="0" applyFont="1" applyAlignment="1">
      <alignment horizontal="left" vertical="center"/>
    </xf>
    <xf numFmtId="0" fontId="35" fillId="0" borderId="0" xfId="0" applyFont="1" applyAlignment="1">
      <alignment horizontal="center" vertical="center"/>
    </xf>
    <xf numFmtId="0" fontId="31" fillId="0" borderId="0" xfId="0" applyFont="1" applyAlignment="1">
      <alignment vertical="center"/>
    </xf>
    <xf numFmtId="0" fontId="31" fillId="0" borderId="27" xfId="0" applyFont="1" applyBorder="1" applyAlignment="1">
      <alignment vertical="center"/>
    </xf>
    <xf numFmtId="0" fontId="0" fillId="0" borderId="27" xfId="0" applyBorder="1" applyAlignment="1">
      <alignment vertical="center"/>
    </xf>
    <xf numFmtId="0" fontId="32" fillId="0" borderId="0" xfId="0" applyFont="1" applyAlignment="1">
      <alignment horizontal="center" vertical="center"/>
    </xf>
    <xf numFmtId="0" fontId="21" fillId="30" borderId="22" xfId="0" applyFont="1" applyFill="1" applyBorder="1" applyAlignment="1">
      <alignment horizontal="right"/>
    </xf>
    <xf numFmtId="0" fontId="31" fillId="0" borderId="0" xfId="0" applyFont="1" applyAlignment="1">
      <alignment horizontal="center" vertical="center"/>
    </xf>
    <xf numFmtId="0" fontId="31" fillId="0" borderId="47" xfId="0" applyFont="1" applyBorder="1" applyAlignment="1">
      <alignment horizontal="center" vertical="center"/>
    </xf>
    <xf numFmtId="0" fontId="43" fillId="37" borderId="0" xfId="0" applyFont="1" applyFill="1"/>
    <xf numFmtId="0" fontId="43" fillId="30" borderId="0" xfId="0" applyFont="1" applyFill="1"/>
    <xf numFmtId="0" fontId="44" fillId="0" borderId="0" xfId="0" applyFont="1" applyAlignment="1">
      <alignment horizontal="right" vertical="center"/>
    </xf>
    <xf numFmtId="0" fontId="21" fillId="30" borderId="42" xfId="0" applyFont="1" applyFill="1" applyBorder="1" applyAlignment="1" applyProtection="1">
      <alignment horizontal="left" vertical="center" wrapText="1" indent="1"/>
      <protection locked="0"/>
    </xf>
    <xf numFmtId="0" fontId="21" fillId="30" borderId="27" xfId="0" applyFont="1" applyFill="1" applyBorder="1" applyAlignment="1" applyProtection="1">
      <alignment horizontal="left" vertical="center" wrapText="1" indent="1"/>
      <protection locked="0"/>
    </xf>
    <xf numFmtId="0" fontId="21" fillId="30" borderId="43" xfId="0" applyFont="1" applyFill="1" applyBorder="1" applyAlignment="1" applyProtection="1">
      <alignment horizontal="left" vertical="center" wrapText="1" indent="1"/>
      <protection locked="0"/>
    </xf>
    <xf numFmtId="0" fontId="21" fillId="30" borderId="53" xfId="0" applyFont="1" applyFill="1" applyBorder="1" applyAlignment="1" applyProtection="1">
      <alignment horizontal="left" vertical="center" wrapText="1" indent="1"/>
      <protection locked="0"/>
    </xf>
    <xf numFmtId="0" fontId="21" fillId="30" borderId="27" xfId="0" applyFont="1" applyFill="1" applyBorder="1" applyAlignment="1" applyProtection="1">
      <alignment horizontal="left" vertical="center" wrapText="1" indent="1"/>
      <protection locked="0"/>
    </xf>
    <xf numFmtId="0" fontId="21" fillId="30" borderId="54" xfId="0" applyFont="1" applyFill="1" applyBorder="1" applyAlignment="1" applyProtection="1">
      <alignment horizontal="left" vertical="center" wrapText="1" indent="1"/>
      <protection locked="0"/>
    </xf>
    <xf numFmtId="0" fontId="21" fillId="30" borderId="31" xfId="0" applyFont="1" applyFill="1" applyBorder="1" applyAlignment="1" applyProtection="1">
      <alignment horizontal="left" vertical="center" wrapText="1" indent="1"/>
      <protection locked="0"/>
    </xf>
    <xf numFmtId="0" fontId="21" fillId="30" borderId="0" xfId="0" applyFont="1" applyFill="1" applyBorder="1" applyAlignment="1" applyProtection="1">
      <alignment horizontal="left" vertical="center" wrapText="1" indent="1"/>
      <protection locked="0"/>
    </xf>
    <xf numFmtId="0" fontId="21" fillId="30" borderId="29" xfId="0" applyFont="1" applyFill="1" applyBorder="1" applyAlignment="1" applyProtection="1">
      <alignment horizontal="left" vertical="center" wrapText="1" indent="1"/>
      <protection locked="0"/>
    </xf>
    <xf numFmtId="0" fontId="21" fillId="30" borderId="51" xfId="0" applyFont="1" applyFill="1" applyBorder="1" applyAlignment="1" applyProtection="1">
      <alignment horizontal="left" vertical="center" wrapText="1" indent="1"/>
      <protection locked="0"/>
    </xf>
    <xf numFmtId="0" fontId="21" fillId="30" borderId="52" xfId="0" applyFont="1" applyFill="1" applyBorder="1" applyAlignment="1" applyProtection="1">
      <alignment horizontal="left" vertical="center" wrapText="1" indent="1"/>
      <protection locked="0"/>
    </xf>
    <xf numFmtId="0" fontId="21" fillId="30" borderId="49" xfId="0" applyFont="1" applyFill="1" applyBorder="1" applyAlignment="1" applyProtection="1">
      <alignment horizontal="left" vertical="center" wrapText="1" indent="1"/>
      <protection locked="0"/>
    </xf>
    <xf numFmtId="0" fontId="21" fillId="30" borderId="49" xfId="0" applyFont="1" applyFill="1" applyBorder="1" applyAlignment="1" applyProtection="1">
      <alignment horizontal="left" vertical="center" indent="1"/>
      <protection locked="0"/>
    </xf>
    <xf numFmtId="0" fontId="21" fillId="30" borderId="0" xfId="0" applyFont="1" applyFill="1" applyAlignment="1" applyProtection="1">
      <alignment horizontal="left" vertical="center" wrapText="1" indent="1"/>
      <protection locked="0"/>
    </xf>
    <xf numFmtId="0" fontId="21" fillId="30" borderId="42" xfId="0" applyFont="1" applyFill="1" applyBorder="1" applyAlignment="1" applyProtection="1">
      <alignment horizontal="left" vertical="center" wrapText="1" indent="1"/>
      <protection locked="0"/>
    </xf>
    <xf numFmtId="0" fontId="21" fillId="30" borderId="43" xfId="0" applyFont="1" applyFill="1" applyBorder="1" applyAlignment="1" applyProtection="1">
      <alignment horizontal="left" vertical="center" wrapText="1" indent="1"/>
      <protection locked="0"/>
    </xf>
    <xf numFmtId="0" fontId="21" fillId="30" borderId="48" xfId="0" applyFont="1" applyFill="1" applyBorder="1" applyAlignment="1" applyProtection="1">
      <alignment horizontal="left" vertical="center" wrapText="1" indent="1"/>
      <protection locked="0"/>
    </xf>
    <xf numFmtId="0" fontId="21" fillId="30" borderId="48" xfId="0" applyFont="1" applyFill="1" applyBorder="1" applyAlignment="1" applyProtection="1">
      <alignment horizontal="left" vertical="center" indent="1"/>
      <protection locked="0"/>
    </xf>
    <xf numFmtId="0" fontId="21" fillId="32" borderId="48" xfId="0" applyFont="1" applyFill="1" applyBorder="1" applyAlignment="1" applyProtection="1">
      <alignment horizontal="center" vertical="center"/>
      <protection locked="0"/>
    </xf>
    <xf numFmtId="0" fontId="21" fillId="27" borderId="48" xfId="0" applyFont="1" applyFill="1" applyBorder="1" applyAlignment="1">
      <alignment horizontal="center" vertical="center"/>
    </xf>
    <xf numFmtId="0" fontId="29" fillId="26" borderId="36" xfId="0" applyFont="1" applyFill="1" applyBorder="1" applyAlignment="1">
      <alignment horizontal="right" vertical="center" indent="1"/>
    </xf>
    <xf numFmtId="0" fontId="29" fillId="26" borderId="26" xfId="0" applyFont="1" applyFill="1" applyBorder="1" applyAlignment="1">
      <alignment horizontal="right" vertical="center" indent="1"/>
    </xf>
    <xf numFmtId="0" fontId="29" fillId="26" borderId="37" xfId="0" applyFont="1" applyFill="1" applyBorder="1" applyAlignment="1">
      <alignment horizontal="right" vertical="center" indent="1"/>
    </xf>
    <xf numFmtId="0" fontId="38" fillId="33" borderId="28" xfId="0" quotePrefix="1" applyFont="1" applyFill="1" applyBorder="1" applyAlignment="1">
      <alignment horizontal="center" vertical="center"/>
    </xf>
    <xf numFmtId="0" fontId="38" fillId="33" borderId="28" xfId="0" applyFont="1" applyFill="1" applyBorder="1" applyAlignment="1">
      <alignment horizontal="center" vertical="center"/>
    </xf>
    <xf numFmtId="0" fontId="21" fillId="31" borderId="24" xfId="0" applyFont="1" applyFill="1" applyBorder="1" applyAlignment="1">
      <alignment horizontal="left" vertical="center" indent="1"/>
    </xf>
    <xf numFmtId="0" fontId="21" fillId="31" borderId="25" xfId="0" applyFont="1" applyFill="1" applyBorder="1" applyAlignment="1">
      <alignment horizontal="left" vertical="center" indent="1"/>
    </xf>
    <xf numFmtId="0" fontId="21" fillId="31" borderId="23" xfId="0" applyFont="1" applyFill="1" applyBorder="1" applyAlignment="1">
      <alignment horizontal="left" vertical="center" indent="1"/>
    </xf>
    <xf numFmtId="0" fontId="21" fillId="30" borderId="24" xfId="0" applyFont="1" applyFill="1" applyBorder="1" applyAlignment="1" applyProtection="1">
      <alignment horizontal="left" vertical="center" wrapText="1" indent="1"/>
      <protection locked="0"/>
    </xf>
    <xf numFmtId="0" fontId="21" fillId="30" borderId="25" xfId="0" applyFont="1" applyFill="1" applyBorder="1" applyAlignment="1" applyProtection="1">
      <alignment horizontal="left" vertical="center" wrapText="1" indent="1"/>
      <protection locked="0"/>
    </xf>
    <xf numFmtId="0" fontId="21" fillId="30" borderId="23" xfId="0" applyFont="1" applyFill="1" applyBorder="1" applyAlignment="1" applyProtection="1">
      <alignment horizontal="left" vertical="center" wrapText="1" indent="1"/>
      <protection locked="0"/>
    </xf>
    <xf numFmtId="0" fontId="21" fillId="30" borderId="34" xfId="0" applyFont="1" applyFill="1" applyBorder="1" applyAlignment="1" applyProtection="1">
      <alignment horizontal="left" vertical="center" wrapText="1" indent="1"/>
      <protection locked="0"/>
    </xf>
    <xf numFmtId="0" fontId="21" fillId="30" borderId="32" xfId="0" applyFont="1" applyFill="1" applyBorder="1" applyAlignment="1" applyProtection="1">
      <alignment horizontal="left" vertical="center" wrapText="1" indent="1"/>
      <protection locked="0"/>
    </xf>
    <xf numFmtId="0" fontId="21" fillId="30" borderId="35" xfId="0" applyFont="1" applyFill="1" applyBorder="1" applyAlignment="1" applyProtection="1">
      <alignment horizontal="left" vertical="center" wrapText="1" indent="1"/>
      <protection locked="0"/>
    </xf>
    <xf numFmtId="0" fontId="21" fillId="30" borderId="39" xfId="0" applyFont="1" applyFill="1" applyBorder="1" applyAlignment="1" applyProtection="1">
      <alignment horizontal="left" vertical="center" wrapText="1" indent="1"/>
      <protection locked="0"/>
    </xf>
    <xf numFmtId="0" fontId="21" fillId="30" borderId="40" xfId="0" applyFont="1" applyFill="1" applyBorder="1" applyAlignment="1" applyProtection="1">
      <alignment horizontal="left" vertical="center" wrapText="1" indent="1"/>
      <protection locked="0"/>
    </xf>
    <xf numFmtId="0" fontId="21" fillId="30" borderId="41" xfId="0" applyFont="1" applyFill="1" applyBorder="1" applyAlignment="1" applyProtection="1">
      <alignment horizontal="left" vertical="center" wrapText="1" indent="1"/>
      <protection locked="0"/>
    </xf>
    <xf numFmtId="0" fontId="21" fillId="34" borderId="24" xfId="0" applyFont="1" applyFill="1" applyBorder="1" applyAlignment="1">
      <alignment horizontal="right" vertical="center" indent="1"/>
    </xf>
    <xf numFmtId="0" fontId="21" fillId="34" borderId="25" xfId="0" applyFont="1" applyFill="1" applyBorder="1" applyAlignment="1">
      <alignment horizontal="right" vertical="center" indent="1"/>
    </xf>
    <xf numFmtId="0" fontId="21" fillId="34" borderId="23" xfId="0" applyFont="1" applyFill="1" applyBorder="1" applyAlignment="1">
      <alignment horizontal="right" vertical="center" indent="1"/>
    </xf>
    <xf numFmtId="171" fontId="21" fillId="27" borderId="24" xfId="0" applyNumberFormat="1" applyFont="1" applyFill="1" applyBorder="1" applyAlignment="1" applyProtection="1">
      <alignment horizontal="right" vertical="center" indent="1"/>
      <protection locked="0"/>
    </xf>
    <xf numFmtId="171" fontId="21" fillId="27" borderId="25" xfId="0" applyNumberFormat="1" applyFont="1" applyFill="1" applyBorder="1" applyAlignment="1" applyProtection="1">
      <alignment horizontal="right" vertical="center" indent="1"/>
      <protection locked="0"/>
    </xf>
    <xf numFmtId="171" fontId="21" fillId="27" borderId="23" xfId="0" applyNumberFormat="1" applyFont="1" applyFill="1" applyBorder="1" applyAlignment="1" applyProtection="1">
      <alignment horizontal="right" vertical="center" indent="1"/>
      <protection locked="0"/>
    </xf>
    <xf numFmtId="171" fontId="21" fillId="27" borderId="34" xfId="0" applyNumberFormat="1" applyFont="1" applyFill="1" applyBorder="1" applyAlignment="1" applyProtection="1">
      <alignment horizontal="right" vertical="center" indent="1"/>
      <protection locked="0"/>
    </xf>
    <xf numFmtId="171" fontId="21" fillId="27" borderId="32" xfId="0" applyNumberFormat="1" applyFont="1" applyFill="1" applyBorder="1" applyAlignment="1" applyProtection="1">
      <alignment horizontal="right" vertical="center" indent="1"/>
      <protection locked="0"/>
    </xf>
    <xf numFmtId="171" fontId="21" fillId="27" borderId="35" xfId="0" applyNumberFormat="1" applyFont="1" applyFill="1" applyBorder="1" applyAlignment="1" applyProtection="1">
      <alignment horizontal="right" vertical="center" indent="1"/>
      <protection locked="0"/>
    </xf>
    <xf numFmtId="171" fontId="21" fillId="27" borderId="39" xfId="0" applyNumberFormat="1" applyFont="1" applyFill="1" applyBorder="1" applyAlignment="1" applyProtection="1">
      <alignment horizontal="right" vertical="center" indent="1"/>
      <protection locked="0"/>
    </xf>
    <xf numFmtId="171" fontId="21" fillId="27" borderId="40" xfId="0" applyNumberFormat="1" applyFont="1" applyFill="1" applyBorder="1" applyAlignment="1" applyProtection="1">
      <alignment horizontal="right" vertical="center" indent="1"/>
      <protection locked="0"/>
    </xf>
    <xf numFmtId="171" fontId="21" fillId="27" borderId="41" xfId="0" applyNumberFormat="1" applyFont="1" applyFill="1" applyBorder="1" applyAlignment="1" applyProtection="1">
      <alignment horizontal="right" vertical="center" indent="1"/>
      <protection locked="0"/>
    </xf>
    <xf numFmtId="0" fontId="21" fillId="30" borderId="49" xfId="0" applyFont="1" applyFill="1" applyBorder="1" applyAlignment="1" applyProtection="1">
      <alignment horizontal="right" vertical="center" indent="1"/>
      <protection locked="0"/>
    </xf>
    <xf numFmtId="0" fontId="21" fillId="30" borderId="38" xfId="0" applyFont="1" applyFill="1" applyBorder="1" applyAlignment="1" applyProtection="1">
      <alignment horizontal="left" vertical="center" wrapText="1" indent="1"/>
      <protection locked="0"/>
    </xf>
    <xf numFmtId="0" fontId="21" fillId="30" borderId="38" xfId="0" applyFont="1" applyFill="1" applyBorder="1" applyAlignment="1" applyProtection="1">
      <alignment horizontal="left" vertical="center" indent="1"/>
      <protection locked="0"/>
    </xf>
    <xf numFmtId="0" fontId="21" fillId="30" borderId="38" xfId="0" applyFont="1" applyFill="1" applyBorder="1" applyAlignment="1" applyProtection="1">
      <alignment horizontal="right" vertical="center" indent="1"/>
      <protection locked="0"/>
    </xf>
    <xf numFmtId="0" fontId="21" fillId="31" borderId="22" xfId="0" applyFont="1" applyFill="1" applyBorder="1" applyAlignment="1">
      <alignment horizontal="left" vertical="center" wrapText="1" indent="1"/>
    </xf>
    <xf numFmtId="0" fontId="21" fillId="25" borderId="22" xfId="0" applyFont="1" applyFill="1" applyBorder="1" applyAlignment="1">
      <alignment horizontal="right" vertical="center" indent="1"/>
    </xf>
    <xf numFmtId="0" fontId="21" fillId="30" borderId="22" xfId="0" applyFont="1" applyFill="1" applyBorder="1" applyAlignment="1" applyProtection="1">
      <alignment horizontal="left" vertical="center" wrapText="1" indent="1"/>
      <protection locked="0"/>
    </xf>
    <xf numFmtId="0" fontId="21" fillId="30" borderId="22" xfId="0" applyFont="1" applyFill="1" applyBorder="1" applyAlignment="1" applyProtection="1">
      <alignment horizontal="left" vertical="center" indent="1"/>
      <protection locked="0"/>
    </xf>
    <xf numFmtId="0" fontId="21" fillId="30" borderId="22" xfId="0" applyFont="1" applyFill="1" applyBorder="1" applyAlignment="1" applyProtection="1">
      <alignment horizontal="right" vertical="center" indent="1"/>
      <protection locked="0"/>
    </xf>
    <xf numFmtId="171" fontId="21" fillId="27" borderId="26" xfId="0" applyNumberFormat="1" applyFont="1" applyFill="1" applyBorder="1" applyAlignment="1">
      <alignment horizontal="right" vertical="center" indent="1"/>
    </xf>
    <xf numFmtId="171" fontId="21" fillId="27" borderId="37" xfId="0" applyNumberFormat="1" applyFont="1" applyFill="1" applyBorder="1" applyAlignment="1">
      <alignment horizontal="right" vertical="center" indent="1"/>
    </xf>
    <xf numFmtId="0" fontId="21" fillId="32" borderId="22" xfId="0" applyFont="1" applyFill="1" applyBorder="1" applyAlignment="1" applyProtection="1">
      <alignment horizontal="center" vertical="center"/>
      <protection locked="0"/>
    </xf>
    <xf numFmtId="0" fontId="21" fillId="27" borderId="22" xfId="0" applyFont="1" applyFill="1" applyBorder="1" applyAlignment="1">
      <alignment horizontal="center" vertical="center"/>
    </xf>
    <xf numFmtId="0" fontId="21" fillId="27" borderId="49" xfId="0" applyFont="1" applyFill="1" applyBorder="1" applyAlignment="1">
      <alignment horizontal="center" vertical="center"/>
    </xf>
    <xf numFmtId="0" fontId="29" fillId="23" borderId="33" xfId="0" applyFont="1" applyFill="1" applyBorder="1" applyAlignment="1" applyProtection="1">
      <alignment horizontal="center" vertical="center"/>
      <protection locked="0"/>
    </xf>
    <xf numFmtId="0" fontId="40" fillId="35" borderId="44" xfId="0" applyFont="1" applyFill="1" applyBorder="1" applyAlignment="1" applyProtection="1">
      <alignment horizontal="left" vertical="center" indent="1"/>
      <protection locked="0"/>
    </xf>
    <xf numFmtId="0" fontId="40" fillId="35" borderId="45" xfId="0" applyFont="1" applyFill="1" applyBorder="1" applyAlignment="1" applyProtection="1">
      <alignment horizontal="left" vertical="center" indent="1"/>
      <protection locked="0"/>
    </xf>
    <xf numFmtId="0" fontId="40" fillId="35" borderId="46" xfId="0" applyFont="1" applyFill="1" applyBorder="1" applyAlignment="1" applyProtection="1">
      <alignment horizontal="left" vertical="center" indent="1"/>
      <protection locked="0"/>
    </xf>
    <xf numFmtId="0" fontId="21" fillId="32" borderId="39" xfId="0" applyFont="1" applyFill="1" applyBorder="1" applyAlignment="1" applyProtection="1">
      <alignment horizontal="center" vertical="center"/>
      <protection locked="0"/>
    </xf>
    <xf numFmtId="0" fontId="21" fillId="32" borderId="40" xfId="0" applyFont="1" applyFill="1" applyBorder="1" applyAlignment="1" applyProtection="1">
      <alignment horizontal="center" vertical="center"/>
      <protection locked="0"/>
    </xf>
    <xf numFmtId="0" fontId="21" fillId="32" borderId="41" xfId="0" applyFont="1" applyFill="1" applyBorder="1" applyAlignment="1" applyProtection="1">
      <alignment horizontal="center" vertical="center"/>
      <protection locked="0"/>
    </xf>
    <xf numFmtId="0" fontId="21" fillId="32" borderId="39" xfId="0" applyFont="1" applyFill="1" applyBorder="1" applyAlignment="1" applyProtection="1">
      <alignment horizontal="left" vertical="center" indent="1"/>
      <protection locked="0"/>
    </xf>
    <xf numFmtId="0" fontId="21" fillId="32" borderId="40" xfId="0" applyFont="1" applyFill="1" applyBorder="1" applyAlignment="1" applyProtection="1">
      <alignment horizontal="left" vertical="center" indent="1"/>
      <protection locked="0"/>
    </xf>
    <xf numFmtId="0" fontId="21" fillId="32" borderId="41" xfId="0" applyFont="1" applyFill="1" applyBorder="1" applyAlignment="1" applyProtection="1">
      <alignment horizontal="left" vertical="center" indent="1"/>
      <protection locked="0"/>
    </xf>
    <xf numFmtId="0" fontId="21" fillId="32" borderId="39" xfId="0" applyFont="1" applyFill="1" applyBorder="1" applyAlignment="1" applyProtection="1">
      <alignment horizontal="left" vertical="center" wrapText="1" indent="1"/>
      <protection locked="0"/>
    </xf>
    <xf numFmtId="171" fontId="41" fillId="36" borderId="24" xfId="0" applyNumberFormat="1" applyFont="1" applyFill="1" applyBorder="1" applyAlignment="1">
      <alignment horizontal="center" vertical="center"/>
    </xf>
    <xf numFmtId="171" fontId="41" fillId="36" borderId="25" xfId="0" applyNumberFormat="1" applyFont="1" applyFill="1" applyBorder="1" applyAlignment="1">
      <alignment horizontal="center" vertical="center"/>
    </xf>
    <xf numFmtId="171" fontId="41" fillId="36" borderId="23" xfId="0" applyNumberFormat="1" applyFont="1" applyFill="1" applyBorder="1" applyAlignment="1">
      <alignment horizontal="center" vertical="center"/>
    </xf>
    <xf numFmtId="0" fontId="21" fillId="32" borderId="38" xfId="0" applyFont="1" applyFill="1" applyBorder="1" applyAlignment="1" applyProtection="1">
      <alignment horizontal="center" vertical="center"/>
      <protection locked="0"/>
    </xf>
    <xf numFmtId="0" fontId="21" fillId="34" borderId="22" xfId="0" applyFont="1" applyFill="1" applyBorder="1" applyAlignment="1">
      <alignment horizontal="center" vertical="center"/>
    </xf>
    <xf numFmtId="0" fontId="21" fillId="31" borderId="22" xfId="0" applyFont="1" applyFill="1" applyBorder="1" applyAlignment="1">
      <alignment horizontal="left" vertical="center" indent="1"/>
    </xf>
    <xf numFmtId="0" fontId="29" fillId="26" borderId="28" xfId="0" applyFont="1" applyFill="1" applyBorder="1" applyAlignment="1">
      <alignment horizontal="right" vertical="center" indent="1"/>
    </xf>
    <xf numFmtId="0" fontId="21" fillId="31" borderId="24" xfId="0" applyFont="1" applyFill="1" applyBorder="1" applyAlignment="1">
      <alignment horizontal="center" vertical="center"/>
    </xf>
    <xf numFmtId="0" fontId="21" fillId="31" borderId="25" xfId="0" applyFont="1" applyFill="1" applyBorder="1" applyAlignment="1">
      <alignment horizontal="center" vertical="center"/>
    </xf>
    <xf numFmtId="0" fontId="21" fillId="31" borderId="23" xfId="0" applyFont="1" applyFill="1" applyBorder="1" applyAlignment="1">
      <alignment horizontal="center" vertical="center"/>
    </xf>
    <xf numFmtId="0" fontId="21" fillId="32" borderId="49" xfId="0" applyFont="1" applyFill="1" applyBorder="1" applyAlignment="1" applyProtection="1">
      <alignment horizontal="center" vertical="center"/>
      <protection locked="0"/>
    </xf>
    <xf numFmtId="0" fontId="21" fillId="27" borderId="38" xfId="0" applyFont="1" applyFill="1" applyBorder="1" applyAlignment="1">
      <alignment horizontal="center" vertical="center"/>
    </xf>
    <xf numFmtId="0" fontId="21" fillId="31" borderId="22" xfId="0" applyFont="1" applyFill="1" applyBorder="1" applyAlignment="1">
      <alignment horizontal="center" vertical="center" wrapText="1"/>
    </xf>
    <xf numFmtId="0" fontId="21" fillId="25" borderId="22" xfId="0" applyFont="1" applyFill="1" applyBorder="1" applyAlignment="1">
      <alignment horizontal="left" vertical="center" indent="1"/>
    </xf>
    <xf numFmtId="14" fontId="21" fillId="30" borderId="22" xfId="0" applyNumberFormat="1" applyFont="1" applyFill="1" applyBorder="1" applyAlignment="1" applyProtection="1">
      <alignment horizontal="left" vertical="center" indent="1"/>
      <protection locked="0"/>
    </xf>
    <xf numFmtId="0" fontId="39" fillId="0" borderId="30" xfId="0" applyFont="1" applyBorder="1" applyAlignment="1">
      <alignment horizontal="center"/>
    </xf>
    <xf numFmtId="0" fontId="39" fillId="0" borderId="50" xfId="0" applyFont="1" applyBorder="1" applyAlignment="1">
      <alignment horizontal="center" vertical="top"/>
    </xf>
    <xf numFmtId="0" fontId="29" fillId="29" borderId="0" xfId="0" applyFont="1" applyFill="1" applyAlignment="1">
      <alignment horizontal="left" vertical="center" indent="1"/>
    </xf>
    <xf numFmtId="0" fontId="28" fillId="0" borderId="14" xfId="0" applyFont="1" applyBorder="1" applyAlignment="1">
      <alignment horizontal="center" vertical="center"/>
    </xf>
    <xf numFmtId="0" fontId="28" fillId="0" borderId="11" xfId="0" applyFont="1" applyBorder="1" applyAlignment="1">
      <alignment horizontal="center" vertical="center"/>
    </xf>
    <xf numFmtId="0" fontId="28" fillId="0" borderId="15" xfId="0" applyFont="1" applyBorder="1" applyAlignment="1">
      <alignment horizontal="center" vertical="center"/>
    </xf>
    <xf numFmtId="0" fontId="28" fillId="0" borderId="16" xfId="0" applyFont="1" applyBorder="1" applyAlignment="1">
      <alignment horizontal="center" vertical="center"/>
    </xf>
    <xf numFmtId="0" fontId="28" fillId="0" borderId="0" xfId="0" applyFont="1" applyAlignment="1">
      <alignment horizontal="center" vertical="center"/>
    </xf>
    <xf numFmtId="0" fontId="28" fillId="0" borderId="1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8" fillId="0" borderId="20" xfId="0" applyFont="1" applyBorder="1" applyAlignment="1">
      <alignment horizontal="center" vertical="center"/>
    </xf>
    <xf numFmtId="0" fontId="0" fillId="0" borderId="12" xfId="0" applyBorder="1" applyAlignment="1">
      <alignment horizontal="center"/>
    </xf>
    <xf numFmtId="0" fontId="21" fillId="31" borderId="24" xfId="0" applyFont="1" applyFill="1" applyBorder="1" applyAlignment="1">
      <alignment horizontal="left" vertical="center" wrapText="1" indent="1"/>
    </xf>
    <xf numFmtId="0" fontId="21" fillId="31" borderId="25" xfId="0" applyFont="1" applyFill="1" applyBorder="1" applyAlignment="1">
      <alignment horizontal="left" vertical="center" wrapText="1" indent="1"/>
    </xf>
    <xf numFmtId="0" fontId="21" fillId="31" borderId="23" xfId="0" applyFont="1" applyFill="1" applyBorder="1" applyAlignment="1">
      <alignment horizontal="left" vertical="center" wrapText="1" indent="1"/>
    </xf>
    <xf numFmtId="0" fontId="21" fillId="31" borderId="39" xfId="0" applyFont="1" applyFill="1" applyBorder="1" applyAlignment="1">
      <alignment horizontal="left" vertical="center" indent="1"/>
    </xf>
    <xf numFmtId="0" fontId="21" fillId="31" borderId="40" xfId="0" applyFont="1" applyFill="1" applyBorder="1" applyAlignment="1">
      <alignment horizontal="left" vertical="center" indent="1"/>
    </xf>
    <xf numFmtId="0" fontId="21" fillId="31" borderId="41" xfId="0" applyFont="1" applyFill="1" applyBorder="1" applyAlignment="1">
      <alignment horizontal="left" vertical="center" indent="1"/>
    </xf>
    <xf numFmtId="171" fontId="41" fillId="27" borderId="24" xfId="0" applyNumberFormat="1" applyFont="1" applyFill="1" applyBorder="1" applyAlignment="1">
      <alignment horizontal="center" vertical="center"/>
    </xf>
    <xf numFmtId="171" fontId="41" fillId="27" borderId="25" xfId="0" applyNumberFormat="1" applyFont="1" applyFill="1" applyBorder="1" applyAlignment="1">
      <alignment horizontal="center" vertical="center"/>
    </xf>
    <xf numFmtId="171" fontId="41" fillId="27" borderId="23" xfId="0" applyNumberFormat="1" applyFont="1" applyFill="1" applyBorder="1" applyAlignment="1">
      <alignment horizontal="center" vertical="center"/>
    </xf>
    <xf numFmtId="0" fontId="21" fillId="31" borderId="22" xfId="0" applyFont="1" applyFill="1" applyBorder="1" applyAlignment="1">
      <alignment horizontal="center" vertical="center"/>
    </xf>
    <xf numFmtId="0" fontId="21" fillId="25" borderId="24" xfId="0" applyFont="1" applyFill="1" applyBorder="1" applyAlignment="1">
      <alignment horizontal="left" vertical="center" indent="1"/>
    </xf>
    <xf numFmtId="0" fontId="21" fillId="25" borderId="25" xfId="0" applyFont="1" applyFill="1" applyBorder="1" applyAlignment="1">
      <alignment horizontal="left" vertical="center" indent="1"/>
    </xf>
    <xf numFmtId="0" fontId="21" fillId="25" borderId="23" xfId="0" applyFont="1" applyFill="1" applyBorder="1" applyAlignment="1">
      <alignment horizontal="left" vertical="center" indent="1"/>
    </xf>
    <xf numFmtId="0" fontId="28" fillId="0" borderId="14" xfId="0" applyFont="1" applyBorder="1" applyAlignment="1">
      <alignment horizontal="left" vertical="center" indent="1"/>
    </xf>
    <xf numFmtId="0" fontId="28" fillId="0" borderId="11" xfId="0" applyFont="1" applyBorder="1" applyAlignment="1">
      <alignment horizontal="left" vertical="center" indent="1"/>
    </xf>
    <xf numFmtId="0" fontId="28" fillId="0" borderId="15" xfId="0" applyFont="1" applyBorder="1" applyAlignment="1">
      <alignment horizontal="left" vertical="center" indent="1"/>
    </xf>
    <xf numFmtId="0" fontId="28" fillId="0" borderId="16" xfId="0" applyFont="1" applyBorder="1" applyAlignment="1">
      <alignment horizontal="left" vertical="center" indent="1"/>
    </xf>
    <xf numFmtId="0" fontId="28" fillId="0" borderId="0" xfId="0" applyFont="1" applyAlignment="1">
      <alignment horizontal="left" vertical="center" indent="1"/>
    </xf>
    <xf numFmtId="0" fontId="28" fillId="0" borderId="17" xfId="0" applyFont="1" applyBorder="1" applyAlignment="1">
      <alignment horizontal="left" vertical="center" indent="1"/>
    </xf>
    <xf numFmtId="0" fontId="28" fillId="0" borderId="18" xfId="0" applyFont="1" applyBorder="1" applyAlignment="1">
      <alignment horizontal="left" vertical="center" indent="1"/>
    </xf>
    <xf numFmtId="0" fontId="28" fillId="0" borderId="19" xfId="0" applyFont="1" applyBorder="1" applyAlignment="1">
      <alignment horizontal="left" vertical="center" indent="1"/>
    </xf>
    <xf numFmtId="0" fontId="28" fillId="0" borderId="20" xfId="0" applyFont="1" applyBorder="1" applyAlignment="1">
      <alignment horizontal="left" vertical="center" indent="1"/>
    </xf>
    <xf numFmtId="0" fontId="21" fillId="23" borderId="24" xfId="0" applyFont="1" applyFill="1" applyBorder="1" applyAlignment="1">
      <alignment horizontal="left" vertical="center" wrapText="1" indent="1"/>
    </xf>
    <xf numFmtId="0" fontId="21" fillId="23" borderId="25" xfId="0" applyFont="1" applyFill="1" applyBorder="1" applyAlignment="1">
      <alignment horizontal="left" vertical="center" wrapText="1" indent="1"/>
    </xf>
    <xf numFmtId="0" fontId="21" fillId="23" borderId="23" xfId="0" applyFont="1" applyFill="1" applyBorder="1" applyAlignment="1">
      <alignment horizontal="left" vertical="center" wrapText="1" indent="1"/>
    </xf>
    <xf numFmtId="0" fontId="21" fillId="31" borderId="34" xfId="0" applyFont="1" applyFill="1" applyBorder="1" applyAlignment="1">
      <alignment horizontal="left" vertical="center" indent="1"/>
    </xf>
    <xf numFmtId="0" fontId="21" fillId="31" borderId="32" xfId="0" applyFont="1" applyFill="1" applyBorder="1" applyAlignment="1">
      <alignment horizontal="left" vertical="center" indent="1"/>
    </xf>
    <xf numFmtId="0" fontId="21" fillId="31" borderId="35" xfId="0" applyFont="1" applyFill="1" applyBorder="1" applyAlignment="1">
      <alignment horizontal="left" vertical="center" indent="1"/>
    </xf>
    <xf numFmtId="0" fontId="21" fillId="23" borderId="34" xfId="0" applyFont="1" applyFill="1" applyBorder="1" applyAlignment="1">
      <alignment horizontal="left" vertical="center" wrapText="1" indent="1"/>
    </xf>
    <xf numFmtId="0" fontId="21" fillId="23" borderId="32" xfId="0" applyFont="1" applyFill="1" applyBorder="1" applyAlignment="1">
      <alignment horizontal="left" vertical="center" wrapText="1" indent="1"/>
    </xf>
    <xf numFmtId="0" fontId="21" fillId="23" borderId="35" xfId="0" applyFont="1" applyFill="1" applyBorder="1" applyAlignment="1">
      <alignment horizontal="left" vertical="center" wrapText="1" indent="1"/>
    </xf>
    <xf numFmtId="0" fontId="21" fillId="30" borderId="0" xfId="0" applyFont="1" applyFill="1" applyAlignment="1">
      <alignment horizontal="left" vertical="center" wrapText="1"/>
    </xf>
    <xf numFmtId="0" fontId="21" fillId="30" borderId="27" xfId="0" applyFont="1" applyFill="1" applyBorder="1" applyAlignment="1">
      <alignment horizontal="left" vertical="center" wrapText="1"/>
    </xf>
    <xf numFmtId="0" fontId="39" fillId="0" borderId="0" xfId="0" applyFont="1" applyAlignment="1">
      <alignment horizontal="center" vertical="top"/>
    </xf>
    <xf numFmtId="0" fontId="21" fillId="23" borderId="22" xfId="0" applyFont="1" applyFill="1" applyBorder="1" applyAlignment="1">
      <alignment horizontal="center" vertical="center"/>
    </xf>
    <xf numFmtId="0" fontId="21" fillId="32" borderId="22" xfId="0" applyFont="1" applyFill="1" applyBorder="1" applyAlignment="1" applyProtection="1">
      <alignment horizontal="left" vertical="center" indent="1"/>
      <protection locked="0"/>
    </xf>
    <xf numFmtId="0" fontId="21" fillId="0" borderId="0" xfId="0" applyFont="1" applyAlignment="1">
      <alignment horizontal="justify" vertical="top" wrapText="1"/>
    </xf>
    <xf numFmtId="0" fontId="21" fillId="0" borderId="0" xfId="0" applyFont="1" applyAlignment="1">
      <alignment horizontal="justify" vertical="center" wrapText="1"/>
    </xf>
    <xf numFmtId="0" fontId="21" fillId="30" borderId="24" xfId="0" applyFont="1" applyFill="1" applyBorder="1" applyAlignment="1" applyProtection="1">
      <alignment horizontal="left" vertical="center" indent="1"/>
      <protection locked="0"/>
    </xf>
    <xf numFmtId="0" fontId="21" fillId="30" borderId="25" xfId="0" applyFont="1" applyFill="1" applyBorder="1" applyAlignment="1" applyProtection="1">
      <alignment horizontal="left" vertical="center" indent="1"/>
      <protection locked="0"/>
    </xf>
    <xf numFmtId="0" fontId="21" fillId="30" borderId="23" xfId="0" applyFont="1" applyFill="1" applyBorder="1" applyAlignment="1" applyProtection="1">
      <alignment horizontal="left" vertical="center" indent="1"/>
      <protection locked="0"/>
    </xf>
    <xf numFmtId="14" fontId="21" fillId="30" borderId="38" xfId="0" applyNumberFormat="1" applyFont="1" applyFill="1" applyBorder="1" applyAlignment="1" applyProtection="1">
      <alignment horizontal="left" vertical="center" indent="1"/>
      <protection locked="0"/>
    </xf>
    <xf numFmtId="0" fontId="21" fillId="25" borderId="24" xfId="0" applyFont="1" applyFill="1" applyBorder="1" applyAlignment="1">
      <alignment horizontal="center" vertical="center" wrapText="1"/>
    </xf>
    <xf numFmtId="0" fontId="21" fillId="25" borderId="25" xfId="0" applyFont="1" applyFill="1" applyBorder="1" applyAlignment="1">
      <alignment horizontal="center" vertical="center" wrapText="1"/>
    </xf>
    <xf numFmtId="0" fontId="21" fillId="25" borderId="23" xfId="0" applyFont="1" applyFill="1" applyBorder="1" applyAlignment="1">
      <alignment horizontal="center" vertical="center" wrapText="1"/>
    </xf>
    <xf numFmtId="0" fontId="21" fillId="30" borderId="24" xfId="0" applyFont="1" applyFill="1" applyBorder="1" applyAlignment="1" applyProtection="1">
      <alignment horizontal="right" vertical="center" indent="1"/>
      <protection locked="0"/>
    </xf>
    <xf numFmtId="0" fontId="21" fillId="30" borderId="25" xfId="0" applyFont="1" applyFill="1" applyBorder="1" applyAlignment="1" applyProtection="1">
      <alignment horizontal="right" vertical="center" indent="1"/>
      <protection locked="0"/>
    </xf>
    <xf numFmtId="0" fontId="21" fillId="30" borderId="23" xfId="0" applyFont="1" applyFill="1" applyBorder="1" applyAlignment="1" applyProtection="1">
      <alignment horizontal="right" vertical="center" indent="1"/>
      <protection locked="0"/>
    </xf>
    <xf numFmtId="0" fontId="21" fillId="30" borderId="39" xfId="0" applyFont="1" applyFill="1" applyBorder="1" applyAlignment="1" applyProtection="1">
      <alignment horizontal="left" vertical="center" indent="1"/>
      <protection locked="0"/>
    </xf>
    <xf numFmtId="0" fontId="21" fillId="30" borderId="40" xfId="0" applyFont="1" applyFill="1" applyBorder="1" applyAlignment="1" applyProtection="1">
      <alignment horizontal="left" vertical="center" indent="1"/>
      <protection locked="0"/>
    </xf>
    <xf numFmtId="0" fontId="21" fillId="30" borderId="41" xfId="0" applyFont="1" applyFill="1" applyBorder="1" applyAlignment="1" applyProtection="1">
      <alignment horizontal="left" vertical="center" indent="1"/>
      <protection locked="0"/>
    </xf>
    <xf numFmtId="0" fontId="21" fillId="30" borderId="24" xfId="0" applyFont="1" applyFill="1" applyBorder="1" applyAlignment="1" applyProtection="1">
      <alignment horizontal="center" vertical="center"/>
      <protection locked="0"/>
    </xf>
    <xf numFmtId="0" fontId="21" fillId="30" borderId="25" xfId="0" applyFont="1" applyFill="1" applyBorder="1" applyAlignment="1" applyProtection="1">
      <alignment horizontal="center" vertical="center"/>
      <protection locked="0"/>
    </xf>
    <xf numFmtId="0" fontId="21" fillId="30" borderId="23" xfId="0" applyFont="1" applyFill="1" applyBorder="1" applyAlignment="1" applyProtection="1">
      <alignment horizontal="center" vertical="center"/>
      <protection locked="0"/>
    </xf>
    <xf numFmtId="0" fontId="21" fillId="0" borderId="0" xfId="0" applyFont="1" applyAlignment="1">
      <alignment horizontal="left" vertical="top" wrapText="1"/>
    </xf>
    <xf numFmtId="14" fontId="21" fillId="30" borderId="22" xfId="0" applyNumberFormat="1" applyFont="1" applyFill="1" applyBorder="1" applyAlignment="1" applyProtection="1">
      <alignment horizontal="center" vertical="center"/>
      <protection locked="0"/>
    </xf>
    <xf numFmtId="0" fontId="21" fillId="30" borderId="34" xfId="0" applyFont="1" applyFill="1" applyBorder="1" applyAlignment="1" applyProtection="1">
      <alignment horizontal="left" vertical="center" wrapText="1"/>
      <protection locked="0"/>
    </xf>
    <xf numFmtId="0" fontId="21" fillId="30" borderId="32" xfId="0" applyFont="1" applyFill="1" applyBorder="1" applyAlignment="1" applyProtection="1">
      <alignment horizontal="left" vertical="center" wrapText="1"/>
      <protection locked="0"/>
    </xf>
    <xf numFmtId="0" fontId="21" fillId="30" borderId="35" xfId="0" applyFont="1" applyFill="1" applyBorder="1" applyAlignment="1" applyProtection="1">
      <alignment horizontal="left" vertical="center" wrapText="1"/>
      <protection locked="0"/>
    </xf>
    <xf numFmtId="0" fontId="21" fillId="30" borderId="31" xfId="0" applyFont="1" applyFill="1" applyBorder="1" applyAlignment="1" applyProtection="1">
      <alignment horizontal="left" vertical="center" wrapText="1"/>
      <protection locked="0"/>
    </xf>
    <xf numFmtId="0" fontId="21" fillId="30" borderId="0" xfId="0" applyFont="1" applyFill="1" applyAlignment="1" applyProtection="1">
      <alignment horizontal="left" vertical="center" wrapText="1"/>
      <protection locked="0"/>
    </xf>
    <xf numFmtId="0" fontId="21" fillId="30" borderId="29" xfId="0" applyFont="1" applyFill="1" applyBorder="1" applyAlignment="1" applyProtection="1">
      <alignment horizontal="left" vertical="center" wrapText="1"/>
      <protection locked="0"/>
    </xf>
    <xf numFmtId="0" fontId="21" fillId="30" borderId="42" xfId="0" applyFont="1" applyFill="1" applyBorder="1" applyAlignment="1" applyProtection="1">
      <alignment horizontal="left" vertical="center" wrapText="1"/>
      <protection locked="0"/>
    </xf>
    <xf numFmtId="0" fontId="21" fillId="30" borderId="27" xfId="0" applyFont="1" applyFill="1" applyBorder="1" applyAlignment="1" applyProtection="1">
      <alignment horizontal="left" vertical="center" wrapText="1"/>
      <protection locked="0"/>
    </xf>
    <xf numFmtId="0" fontId="21" fillId="30" borderId="43" xfId="0" applyFont="1" applyFill="1" applyBorder="1" applyAlignment="1" applyProtection="1">
      <alignment horizontal="left" vertical="center" wrapText="1"/>
      <protection locked="0"/>
    </xf>
    <xf numFmtId="0" fontId="21" fillId="25" borderId="24" xfId="0" applyFont="1" applyFill="1" applyBorder="1" applyAlignment="1">
      <alignment horizontal="center" vertical="center"/>
    </xf>
    <xf numFmtId="0" fontId="21" fillId="25" borderId="25" xfId="0" applyFont="1" applyFill="1" applyBorder="1" applyAlignment="1">
      <alignment horizontal="center" vertical="center"/>
    </xf>
    <xf numFmtId="0" fontId="21" fillId="25" borderId="23" xfId="0" applyFont="1" applyFill="1" applyBorder="1" applyAlignment="1">
      <alignment horizontal="center" vertical="center"/>
    </xf>
    <xf numFmtId="0" fontId="21" fillId="30" borderId="39" xfId="0" applyFont="1" applyFill="1" applyBorder="1" applyAlignment="1" applyProtection="1">
      <alignment horizontal="center" vertical="center"/>
      <protection locked="0"/>
    </xf>
    <xf numFmtId="0" fontId="21" fillId="30" borderId="40" xfId="0" applyFont="1" applyFill="1" applyBorder="1" applyAlignment="1" applyProtection="1">
      <alignment horizontal="center" vertical="center"/>
      <protection locked="0"/>
    </xf>
    <xf numFmtId="0" fontId="21" fillId="30" borderId="41" xfId="0" applyFont="1" applyFill="1" applyBorder="1" applyAlignment="1" applyProtection="1">
      <alignment horizontal="center" vertical="center"/>
      <protection locked="0"/>
    </xf>
    <xf numFmtId="0" fontId="21" fillId="23" borderId="22" xfId="0" applyFont="1" applyFill="1" applyBorder="1" applyAlignment="1">
      <alignment horizontal="center" vertical="center" wrapText="1"/>
    </xf>
  </cellXfs>
  <cellStyles count="357">
    <cellStyle name="0,0_x000d__x000a_NA_x000d__x000a_" xfId="159" xr:uid="{00000000-0005-0000-0000-000000000000}"/>
    <cellStyle name="0,0_x000d__x000a_NA_x000d__x000a_ 2" xfId="160" xr:uid="{00000000-0005-0000-0000-000001000000}"/>
    <cellStyle name="20% - Accent1" xfId="1" xr:uid="{00000000-0005-0000-0000-000002000000}"/>
    <cellStyle name="20% - Accent1 2" xfId="161" xr:uid="{00000000-0005-0000-0000-000003000000}"/>
    <cellStyle name="20% - Accent1 3" xfId="162" xr:uid="{00000000-0005-0000-0000-000004000000}"/>
    <cellStyle name="20% - Accent2" xfId="2" xr:uid="{00000000-0005-0000-0000-000005000000}"/>
    <cellStyle name="20% - Accent2 2" xfId="163" xr:uid="{00000000-0005-0000-0000-000006000000}"/>
    <cellStyle name="20% - Accent2 3" xfId="164" xr:uid="{00000000-0005-0000-0000-000007000000}"/>
    <cellStyle name="20% - Accent3" xfId="3" xr:uid="{00000000-0005-0000-0000-000008000000}"/>
    <cellStyle name="20% - Accent3 2" xfId="165" xr:uid="{00000000-0005-0000-0000-000009000000}"/>
    <cellStyle name="20% - Accent3 3" xfId="166" xr:uid="{00000000-0005-0000-0000-00000A000000}"/>
    <cellStyle name="20% - Accent4" xfId="4" xr:uid="{00000000-0005-0000-0000-00000B000000}"/>
    <cellStyle name="20% - Accent4 2" xfId="167" xr:uid="{00000000-0005-0000-0000-00000C000000}"/>
    <cellStyle name="20% - Accent4 3" xfId="168" xr:uid="{00000000-0005-0000-0000-00000D000000}"/>
    <cellStyle name="20% - Accent5" xfId="5" xr:uid="{00000000-0005-0000-0000-00000E000000}"/>
    <cellStyle name="20% - Accent5 2" xfId="169" xr:uid="{00000000-0005-0000-0000-00000F000000}"/>
    <cellStyle name="20% - Accent5 3" xfId="170" xr:uid="{00000000-0005-0000-0000-000010000000}"/>
    <cellStyle name="20% - Accent6" xfId="6" xr:uid="{00000000-0005-0000-0000-000011000000}"/>
    <cellStyle name="20% - Accent6 2" xfId="171" xr:uid="{00000000-0005-0000-0000-000012000000}"/>
    <cellStyle name="20% - Accent6 3" xfId="172" xr:uid="{00000000-0005-0000-0000-000013000000}"/>
    <cellStyle name="40% - Accent1" xfId="7" xr:uid="{00000000-0005-0000-0000-000014000000}"/>
    <cellStyle name="40% - Accent1 2" xfId="173" xr:uid="{00000000-0005-0000-0000-000015000000}"/>
    <cellStyle name="40% - Accent1 3" xfId="174" xr:uid="{00000000-0005-0000-0000-000016000000}"/>
    <cellStyle name="40% - Accent2" xfId="8" xr:uid="{00000000-0005-0000-0000-000017000000}"/>
    <cellStyle name="40% - Accent2 2" xfId="175" xr:uid="{00000000-0005-0000-0000-000018000000}"/>
    <cellStyle name="40% - Accent2 3" xfId="176" xr:uid="{00000000-0005-0000-0000-000019000000}"/>
    <cellStyle name="40% - Accent3" xfId="9" xr:uid="{00000000-0005-0000-0000-00001A000000}"/>
    <cellStyle name="40% - Accent3 2" xfId="177" xr:uid="{00000000-0005-0000-0000-00001B000000}"/>
    <cellStyle name="40% - Accent3 3" xfId="178" xr:uid="{00000000-0005-0000-0000-00001C000000}"/>
    <cellStyle name="40% - Accent4" xfId="10" xr:uid="{00000000-0005-0000-0000-00001D000000}"/>
    <cellStyle name="40% - Accent4 2" xfId="179" xr:uid="{00000000-0005-0000-0000-00001E000000}"/>
    <cellStyle name="40% - Accent4 3" xfId="180" xr:uid="{00000000-0005-0000-0000-00001F000000}"/>
    <cellStyle name="40% - Accent5" xfId="11" xr:uid="{00000000-0005-0000-0000-000020000000}"/>
    <cellStyle name="40% - Accent5 2" xfId="181" xr:uid="{00000000-0005-0000-0000-000021000000}"/>
    <cellStyle name="40% - Accent5 3" xfId="182" xr:uid="{00000000-0005-0000-0000-000022000000}"/>
    <cellStyle name="40% - Accent6" xfId="12" xr:uid="{00000000-0005-0000-0000-000023000000}"/>
    <cellStyle name="40% - Accent6 2" xfId="183" xr:uid="{00000000-0005-0000-0000-000024000000}"/>
    <cellStyle name="40% - Accent6 3" xfId="184" xr:uid="{00000000-0005-0000-0000-000025000000}"/>
    <cellStyle name="60% - Accent1" xfId="13" xr:uid="{00000000-0005-0000-0000-000026000000}"/>
    <cellStyle name="60% - Accent1 2" xfId="185" xr:uid="{00000000-0005-0000-0000-000027000000}"/>
    <cellStyle name="60% - Accent1 3" xfId="186" xr:uid="{00000000-0005-0000-0000-000028000000}"/>
    <cellStyle name="60% - Accent2" xfId="14" xr:uid="{00000000-0005-0000-0000-000029000000}"/>
    <cellStyle name="60% - Accent2 2" xfId="187" xr:uid="{00000000-0005-0000-0000-00002A000000}"/>
    <cellStyle name="60% - Accent2 3" xfId="188" xr:uid="{00000000-0005-0000-0000-00002B000000}"/>
    <cellStyle name="60% - Accent3" xfId="15" xr:uid="{00000000-0005-0000-0000-00002C000000}"/>
    <cellStyle name="60% - Accent3 2" xfId="189" xr:uid="{00000000-0005-0000-0000-00002D000000}"/>
    <cellStyle name="60% - Accent3 3" xfId="190" xr:uid="{00000000-0005-0000-0000-00002E000000}"/>
    <cellStyle name="60% - Accent4" xfId="16" xr:uid="{00000000-0005-0000-0000-00002F000000}"/>
    <cellStyle name="60% - Accent4 2" xfId="191" xr:uid="{00000000-0005-0000-0000-000030000000}"/>
    <cellStyle name="60% - Accent4 3" xfId="192" xr:uid="{00000000-0005-0000-0000-000031000000}"/>
    <cellStyle name="60% - Accent5" xfId="17" xr:uid="{00000000-0005-0000-0000-000032000000}"/>
    <cellStyle name="60% - Accent5 2" xfId="193" xr:uid="{00000000-0005-0000-0000-000033000000}"/>
    <cellStyle name="60% - Accent5 3" xfId="194" xr:uid="{00000000-0005-0000-0000-000034000000}"/>
    <cellStyle name="60% - Accent6" xfId="18" xr:uid="{00000000-0005-0000-0000-000035000000}"/>
    <cellStyle name="60% - Accent6 2" xfId="195" xr:uid="{00000000-0005-0000-0000-000036000000}"/>
    <cellStyle name="60% - Accent6 3" xfId="196" xr:uid="{00000000-0005-0000-0000-000037000000}"/>
    <cellStyle name="Accent1" xfId="19" xr:uid="{00000000-0005-0000-0000-000038000000}"/>
    <cellStyle name="Accent1 2" xfId="197" xr:uid="{00000000-0005-0000-0000-000039000000}"/>
    <cellStyle name="Accent1 3" xfId="198" xr:uid="{00000000-0005-0000-0000-00003A000000}"/>
    <cellStyle name="Accent2" xfId="20" xr:uid="{00000000-0005-0000-0000-00003B000000}"/>
    <cellStyle name="Accent2 2" xfId="199" xr:uid="{00000000-0005-0000-0000-00003C000000}"/>
    <cellStyle name="Accent2 3" xfId="200" xr:uid="{00000000-0005-0000-0000-00003D000000}"/>
    <cellStyle name="Accent3" xfId="21" xr:uid="{00000000-0005-0000-0000-00003E000000}"/>
    <cellStyle name="Accent3 2" xfId="201" xr:uid="{00000000-0005-0000-0000-00003F000000}"/>
    <cellStyle name="Accent3 3" xfId="202" xr:uid="{00000000-0005-0000-0000-000040000000}"/>
    <cellStyle name="Accent4" xfId="22" xr:uid="{00000000-0005-0000-0000-000041000000}"/>
    <cellStyle name="Accent4 2" xfId="203" xr:uid="{00000000-0005-0000-0000-000042000000}"/>
    <cellStyle name="Accent4 3" xfId="204" xr:uid="{00000000-0005-0000-0000-000043000000}"/>
    <cellStyle name="Accent5" xfId="23" xr:uid="{00000000-0005-0000-0000-000044000000}"/>
    <cellStyle name="Accent5 2" xfId="205" xr:uid="{00000000-0005-0000-0000-000045000000}"/>
    <cellStyle name="Accent5 3" xfId="206" xr:uid="{00000000-0005-0000-0000-000046000000}"/>
    <cellStyle name="Accent6" xfId="24" xr:uid="{00000000-0005-0000-0000-000047000000}"/>
    <cellStyle name="Accent6 2" xfId="207" xr:uid="{00000000-0005-0000-0000-000048000000}"/>
    <cellStyle name="Accent6 3" xfId="208" xr:uid="{00000000-0005-0000-0000-000049000000}"/>
    <cellStyle name="Bad" xfId="25" xr:uid="{00000000-0005-0000-0000-00004A000000}"/>
    <cellStyle name="Bad 2" xfId="209" xr:uid="{00000000-0005-0000-0000-00004B000000}"/>
    <cellStyle name="Bad 3" xfId="210" xr:uid="{00000000-0005-0000-0000-00004C000000}"/>
    <cellStyle name="Buena 2" xfId="26" xr:uid="{00000000-0005-0000-0000-00004D000000}"/>
    <cellStyle name="Calculation" xfId="27" xr:uid="{00000000-0005-0000-0000-00004E000000}"/>
    <cellStyle name="Calculation 2" xfId="211" xr:uid="{00000000-0005-0000-0000-00004F000000}"/>
    <cellStyle name="Calculation 3" xfId="212" xr:uid="{00000000-0005-0000-0000-000050000000}"/>
    <cellStyle name="Cancel" xfId="213" xr:uid="{00000000-0005-0000-0000-000051000000}"/>
    <cellStyle name="Celda de comprobación 2" xfId="28" xr:uid="{00000000-0005-0000-0000-000052000000}"/>
    <cellStyle name="Celda vinculada 2" xfId="29" xr:uid="{00000000-0005-0000-0000-000053000000}"/>
    <cellStyle name="Check Cell" xfId="30" xr:uid="{00000000-0005-0000-0000-000054000000}"/>
    <cellStyle name="Check Cell 2" xfId="214" xr:uid="{00000000-0005-0000-0000-000055000000}"/>
    <cellStyle name="Check Cell 3" xfId="215" xr:uid="{00000000-0005-0000-0000-000056000000}"/>
    <cellStyle name="Comma 2" xfId="31" xr:uid="{00000000-0005-0000-0000-000057000000}"/>
    <cellStyle name="Comma 2 2" xfId="344" xr:uid="{00000000-0005-0000-0000-000058000000}"/>
    <cellStyle name="Default" xfId="32" xr:uid="{00000000-0005-0000-0000-000059000000}"/>
    <cellStyle name="Default 2" xfId="33" xr:uid="{00000000-0005-0000-0000-00005A000000}"/>
    <cellStyle name="Encabezado 4 2" xfId="34" xr:uid="{00000000-0005-0000-0000-00005B000000}"/>
    <cellStyle name="Entrada 2" xfId="35" xr:uid="{00000000-0005-0000-0000-00005C000000}"/>
    <cellStyle name="Entrada 2 2" xfId="36" xr:uid="{00000000-0005-0000-0000-00005D000000}"/>
    <cellStyle name="Entrada 2 2 2" xfId="37" xr:uid="{00000000-0005-0000-0000-00005E000000}"/>
    <cellStyle name="Entrada 2 2 2 2" xfId="38" xr:uid="{00000000-0005-0000-0000-00005F000000}"/>
    <cellStyle name="Entrada 2 2 3" xfId="39" xr:uid="{00000000-0005-0000-0000-000060000000}"/>
    <cellStyle name="Entrada 2 3" xfId="40" xr:uid="{00000000-0005-0000-0000-000061000000}"/>
    <cellStyle name="Entrada 2 3 2" xfId="41" xr:uid="{00000000-0005-0000-0000-000062000000}"/>
    <cellStyle name="Entrada 2 3 2 2" xfId="42" xr:uid="{00000000-0005-0000-0000-000063000000}"/>
    <cellStyle name="Entrada 2 3 3" xfId="43" xr:uid="{00000000-0005-0000-0000-000064000000}"/>
    <cellStyle name="Entrada 2 4" xfId="44" xr:uid="{00000000-0005-0000-0000-000065000000}"/>
    <cellStyle name="Entrada 2 4 2" xfId="45" xr:uid="{00000000-0005-0000-0000-000066000000}"/>
    <cellStyle name="Entrada 2 4 2 2" xfId="46" xr:uid="{00000000-0005-0000-0000-000067000000}"/>
    <cellStyle name="Entrada 2 4 3" xfId="47" xr:uid="{00000000-0005-0000-0000-000068000000}"/>
    <cellStyle name="Entrada 2 5" xfId="48" xr:uid="{00000000-0005-0000-0000-000069000000}"/>
    <cellStyle name="Entrada 2 5 2" xfId="49" xr:uid="{00000000-0005-0000-0000-00006A000000}"/>
    <cellStyle name="Entrada 2 5 3" xfId="50" xr:uid="{00000000-0005-0000-0000-00006B000000}"/>
    <cellStyle name="Entrada 2 6" xfId="51" xr:uid="{00000000-0005-0000-0000-00006C000000}"/>
    <cellStyle name="Entrada 2 6 2" xfId="52" xr:uid="{00000000-0005-0000-0000-00006D000000}"/>
    <cellStyle name="Entrada 2 6 3" xfId="53" xr:uid="{00000000-0005-0000-0000-00006E000000}"/>
    <cellStyle name="Entrada 2 7" xfId="54" xr:uid="{00000000-0005-0000-0000-00006F000000}"/>
    <cellStyle name="Euro" xfId="216" xr:uid="{00000000-0005-0000-0000-000070000000}"/>
    <cellStyle name="Euro 2" xfId="279" xr:uid="{00000000-0005-0000-0000-000071000000}"/>
    <cellStyle name="Excel Built-in Normal" xfId="55" xr:uid="{00000000-0005-0000-0000-000072000000}"/>
    <cellStyle name="Excel Built-in Normal 2" xfId="56" xr:uid="{00000000-0005-0000-0000-000073000000}"/>
    <cellStyle name="Explanatory Text" xfId="57" xr:uid="{00000000-0005-0000-0000-000074000000}"/>
    <cellStyle name="Explanatory Text 2" xfId="217" xr:uid="{00000000-0005-0000-0000-000075000000}"/>
    <cellStyle name="Explanatory Text 3" xfId="218" xr:uid="{00000000-0005-0000-0000-000076000000}"/>
    <cellStyle name="Good" xfId="58" xr:uid="{00000000-0005-0000-0000-000077000000}"/>
    <cellStyle name="Good 2" xfId="219" xr:uid="{00000000-0005-0000-0000-000078000000}"/>
    <cellStyle name="Good 3" xfId="220" xr:uid="{00000000-0005-0000-0000-000079000000}"/>
    <cellStyle name="Heading 1" xfId="59" xr:uid="{00000000-0005-0000-0000-00007A000000}"/>
    <cellStyle name="Heading 1 2" xfId="221" xr:uid="{00000000-0005-0000-0000-00007B000000}"/>
    <cellStyle name="Heading 1 3" xfId="222" xr:uid="{00000000-0005-0000-0000-00007C000000}"/>
    <cellStyle name="Heading 2" xfId="60" xr:uid="{00000000-0005-0000-0000-00007D000000}"/>
    <cellStyle name="Heading 2 2" xfId="223" xr:uid="{00000000-0005-0000-0000-00007E000000}"/>
    <cellStyle name="Heading 2 3" xfId="224" xr:uid="{00000000-0005-0000-0000-00007F000000}"/>
    <cellStyle name="Heading 3" xfId="61" xr:uid="{00000000-0005-0000-0000-000080000000}"/>
    <cellStyle name="Heading 3 2" xfId="225" xr:uid="{00000000-0005-0000-0000-000081000000}"/>
    <cellStyle name="Heading 3 3" xfId="226" xr:uid="{00000000-0005-0000-0000-000082000000}"/>
    <cellStyle name="Heading 4" xfId="62" xr:uid="{00000000-0005-0000-0000-000083000000}"/>
    <cellStyle name="Heading 4 2" xfId="227" xr:uid="{00000000-0005-0000-0000-000084000000}"/>
    <cellStyle name="Heading 4 3" xfId="228" xr:uid="{00000000-0005-0000-0000-000085000000}"/>
    <cellStyle name="Hipervínculo 2" xfId="259" xr:uid="{00000000-0005-0000-0000-000086000000}"/>
    <cellStyle name="Input" xfId="63" xr:uid="{00000000-0005-0000-0000-000087000000}"/>
    <cellStyle name="Input 2" xfId="229" xr:uid="{00000000-0005-0000-0000-000088000000}"/>
    <cellStyle name="Input 3" xfId="230" xr:uid="{00000000-0005-0000-0000-000089000000}"/>
    <cellStyle name="Linked Cell" xfId="64" xr:uid="{00000000-0005-0000-0000-00008A000000}"/>
    <cellStyle name="Linked Cell 2" xfId="231" xr:uid="{00000000-0005-0000-0000-00008B000000}"/>
    <cellStyle name="Linked Cell 3" xfId="232" xr:uid="{00000000-0005-0000-0000-00008C000000}"/>
    <cellStyle name="Millares 2" xfId="65" xr:uid="{00000000-0005-0000-0000-00008D000000}"/>
    <cellStyle name="Millares 2 2" xfId="66" xr:uid="{00000000-0005-0000-0000-00008E000000}"/>
    <cellStyle name="Millares 2 2 2" xfId="281" xr:uid="{00000000-0005-0000-0000-00008F000000}"/>
    <cellStyle name="Millares 2 2 2 2" xfId="351" xr:uid="{00000000-0005-0000-0000-000090000000}"/>
    <cellStyle name="Millares 2 3" xfId="67" xr:uid="{00000000-0005-0000-0000-000091000000}"/>
    <cellStyle name="Millares 2 3 2" xfId="282" xr:uid="{00000000-0005-0000-0000-000092000000}"/>
    <cellStyle name="Millares 2 3 2 2" xfId="352" xr:uid="{00000000-0005-0000-0000-000093000000}"/>
    <cellStyle name="Millares 2 4" xfId="283" xr:uid="{00000000-0005-0000-0000-000094000000}"/>
    <cellStyle name="Millares 2 4 2" xfId="353" xr:uid="{00000000-0005-0000-0000-000095000000}"/>
    <cellStyle name="Millares 2 5" xfId="284" xr:uid="{00000000-0005-0000-0000-000096000000}"/>
    <cellStyle name="Millares 2 5 2" xfId="354" xr:uid="{00000000-0005-0000-0000-000097000000}"/>
    <cellStyle name="Millares 2 6" xfId="285" xr:uid="{00000000-0005-0000-0000-000098000000}"/>
    <cellStyle name="Millares 2 6 2" xfId="355" xr:uid="{00000000-0005-0000-0000-000099000000}"/>
    <cellStyle name="Millares 2 7" xfId="286" xr:uid="{00000000-0005-0000-0000-00009A000000}"/>
    <cellStyle name="Millares 2 7 2" xfId="356" xr:uid="{00000000-0005-0000-0000-00009B000000}"/>
    <cellStyle name="Millares 2 8" xfId="280" xr:uid="{00000000-0005-0000-0000-00009C000000}"/>
    <cellStyle name="Millares 3" xfId="68" xr:uid="{00000000-0005-0000-0000-00009D000000}"/>
    <cellStyle name="Millares 3 2" xfId="266" xr:uid="{00000000-0005-0000-0000-00009E000000}"/>
    <cellStyle name="Millares 3 2 2" xfId="289" xr:uid="{00000000-0005-0000-0000-00009F000000}"/>
    <cellStyle name="Millares 3 2 3" xfId="288" xr:uid="{00000000-0005-0000-0000-0000A0000000}"/>
    <cellStyle name="Millares 3 2 4" xfId="350" xr:uid="{00000000-0005-0000-0000-0000A1000000}"/>
    <cellStyle name="Millares 3 3" xfId="290" xr:uid="{00000000-0005-0000-0000-0000A2000000}"/>
    <cellStyle name="Millares 3 3 2" xfId="291" xr:uid="{00000000-0005-0000-0000-0000A3000000}"/>
    <cellStyle name="Millares 3 4" xfId="292" xr:uid="{00000000-0005-0000-0000-0000A4000000}"/>
    <cellStyle name="Millares 3 4 2" xfId="293" xr:uid="{00000000-0005-0000-0000-0000A5000000}"/>
    <cellStyle name="Millares 3 5" xfId="294" xr:uid="{00000000-0005-0000-0000-0000A6000000}"/>
    <cellStyle name="Millares 3 5 2" xfId="295" xr:uid="{00000000-0005-0000-0000-0000A7000000}"/>
    <cellStyle name="Millares 3 6" xfId="296" xr:uid="{00000000-0005-0000-0000-0000A8000000}"/>
    <cellStyle name="Millares 3 6 2" xfId="297" xr:uid="{00000000-0005-0000-0000-0000A9000000}"/>
    <cellStyle name="Millares 3 7" xfId="298" xr:uid="{00000000-0005-0000-0000-0000AA000000}"/>
    <cellStyle name="Millares 3 7 2" xfId="299" xr:uid="{00000000-0005-0000-0000-0000AB000000}"/>
    <cellStyle name="Millares 3 8" xfId="287" xr:uid="{00000000-0005-0000-0000-0000AC000000}"/>
    <cellStyle name="Millares 4" xfId="258" xr:uid="{00000000-0005-0000-0000-0000AD000000}"/>
    <cellStyle name="Millares 4 2" xfId="301" xr:uid="{00000000-0005-0000-0000-0000AE000000}"/>
    <cellStyle name="Millares 4 3" xfId="300" xr:uid="{00000000-0005-0000-0000-0000AF000000}"/>
    <cellStyle name="Millares 4 4" xfId="349" xr:uid="{00000000-0005-0000-0000-0000B0000000}"/>
    <cellStyle name="Millares 5" xfId="302" xr:uid="{00000000-0005-0000-0000-0000B1000000}"/>
    <cellStyle name="Moneda 2" xfId="69" xr:uid="{00000000-0005-0000-0000-0000B2000000}"/>
    <cellStyle name="Moneda 2 2" xfId="70" xr:uid="{00000000-0005-0000-0000-0000B3000000}"/>
    <cellStyle name="Moneda 2 3" xfId="303" xr:uid="{00000000-0005-0000-0000-0000B4000000}"/>
    <cellStyle name="Moneda 2 4" xfId="345" xr:uid="{00000000-0005-0000-0000-0000B5000000}"/>
    <cellStyle name="Moneda 3" xfId="71" xr:uid="{00000000-0005-0000-0000-0000B6000000}"/>
    <cellStyle name="Moneda 3 2" xfId="264" xr:uid="{00000000-0005-0000-0000-0000B7000000}"/>
    <cellStyle name="Moneda 3 3" xfId="304" xr:uid="{00000000-0005-0000-0000-0000B8000000}"/>
    <cellStyle name="Moneda 3 4" xfId="346" xr:uid="{00000000-0005-0000-0000-0000B9000000}"/>
    <cellStyle name="Moneda 4" xfId="72" xr:uid="{00000000-0005-0000-0000-0000BA000000}"/>
    <cellStyle name="Moneda 4 2" xfId="347" xr:uid="{00000000-0005-0000-0000-0000BB000000}"/>
    <cellStyle name="Neutral 2" xfId="233" xr:uid="{00000000-0005-0000-0000-0000BC000000}"/>
    <cellStyle name="Neutral 3" xfId="234" xr:uid="{00000000-0005-0000-0000-0000BD000000}"/>
    <cellStyle name="Normal" xfId="0" builtinId="0"/>
    <cellStyle name="Normal 10" xfId="235" xr:uid="{00000000-0005-0000-0000-0000BF000000}"/>
    <cellStyle name="Normal 10 2" xfId="236" xr:uid="{00000000-0005-0000-0000-0000C0000000}"/>
    <cellStyle name="Normal 10 2 2" xfId="306" xr:uid="{00000000-0005-0000-0000-0000C1000000}"/>
    <cellStyle name="Normal 10 3" xfId="305" xr:uid="{00000000-0005-0000-0000-0000C2000000}"/>
    <cellStyle name="Normal 11" xfId="237" xr:uid="{00000000-0005-0000-0000-0000C3000000}"/>
    <cellStyle name="Normal 11 2" xfId="238" xr:uid="{00000000-0005-0000-0000-0000C4000000}"/>
    <cellStyle name="Normal 11 3" xfId="307" xr:uid="{00000000-0005-0000-0000-0000C5000000}"/>
    <cellStyle name="Normal 12" xfId="239" xr:uid="{00000000-0005-0000-0000-0000C6000000}"/>
    <cellStyle name="Normal 12 2" xfId="240" xr:uid="{00000000-0005-0000-0000-0000C7000000}"/>
    <cellStyle name="Normal 13" xfId="241" xr:uid="{00000000-0005-0000-0000-0000C8000000}"/>
    <cellStyle name="Normal 13 2" xfId="242" xr:uid="{00000000-0005-0000-0000-0000C9000000}"/>
    <cellStyle name="Normal 14" xfId="277" xr:uid="{00000000-0005-0000-0000-0000CA000000}"/>
    <cellStyle name="Normal 14 2" xfId="308" xr:uid="{00000000-0005-0000-0000-0000CB000000}"/>
    <cellStyle name="Normal 15" xfId="263" xr:uid="{00000000-0005-0000-0000-0000CC000000}"/>
    <cellStyle name="Normal 15 2" xfId="274" xr:uid="{00000000-0005-0000-0000-0000CD000000}"/>
    <cellStyle name="Normal 19" xfId="243" xr:uid="{00000000-0005-0000-0000-0000CE000000}"/>
    <cellStyle name="Normal 2" xfId="73" xr:uid="{00000000-0005-0000-0000-0000CF000000}"/>
    <cellStyle name="Normal 2 2" xfId="74" xr:uid="{00000000-0005-0000-0000-0000D0000000}"/>
    <cellStyle name="Normal 2 2 2" xfId="75" xr:uid="{00000000-0005-0000-0000-0000D1000000}"/>
    <cellStyle name="Normal 2 2 2 2" xfId="76" xr:uid="{00000000-0005-0000-0000-0000D2000000}"/>
    <cellStyle name="Normal 2 2 3" xfId="268" xr:uid="{00000000-0005-0000-0000-0000D3000000}"/>
    <cellStyle name="Normal 2 3" xfId="77" xr:uid="{00000000-0005-0000-0000-0000D4000000}"/>
    <cellStyle name="Normal 3" xfId="78" xr:uid="{00000000-0005-0000-0000-0000D5000000}"/>
    <cellStyle name="Normal 3 2" xfId="79" xr:uid="{00000000-0005-0000-0000-0000D6000000}"/>
    <cellStyle name="Normal 3 2 2" xfId="267" xr:uid="{00000000-0005-0000-0000-0000D7000000}"/>
    <cellStyle name="Normal 3 2 2 2" xfId="310" xr:uid="{00000000-0005-0000-0000-0000D8000000}"/>
    <cellStyle name="Normal 3 2 3" xfId="309" xr:uid="{00000000-0005-0000-0000-0000D9000000}"/>
    <cellStyle name="Normal 3 3" xfId="80" xr:uid="{00000000-0005-0000-0000-0000DA000000}"/>
    <cellStyle name="Normal 3 3 2" xfId="269" xr:uid="{00000000-0005-0000-0000-0000DB000000}"/>
    <cellStyle name="Normal 3 3 2 2" xfId="312" xr:uid="{00000000-0005-0000-0000-0000DC000000}"/>
    <cellStyle name="Normal 3 3 3" xfId="311" xr:uid="{00000000-0005-0000-0000-0000DD000000}"/>
    <cellStyle name="Normal 3 4" xfId="81" xr:uid="{00000000-0005-0000-0000-0000DE000000}"/>
    <cellStyle name="Normal 3 4 2" xfId="270" xr:uid="{00000000-0005-0000-0000-0000DF000000}"/>
    <cellStyle name="Normal 3 4 2 2" xfId="314" xr:uid="{00000000-0005-0000-0000-0000E0000000}"/>
    <cellStyle name="Normal 3 4 3" xfId="313" xr:uid="{00000000-0005-0000-0000-0000E1000000}"/>
    <cellStyle name="Normal 3 5" xfId="82" xr:uid="{00000000-0005-0000-0000-0000E2000000}"/>
    <cellStyle name="Normal 3 5 2" xfId="278" xr:uid="{00000000-0005-0000-0000-0000E3000000}"/>
    <cellStyle name="Normal 3 6" xfId="83" xr:uid="{00000000-0005-0000-0000-0000E4000000}"/>
    <cellStyle name="Normal 3 6 2" xfId="316" xr:uid="{00000000-0005-0000-0000-0000E5000000}"/>
    <cellStyle name="Normal 3 6 3" xfId="315" xr:uid="{00000000-0005-0000-0000-0000E6000000}"/>
    <cellStyle name="Normal 3 7" xfId="84" xr:uid="{00000000-0005-0000-0000-0000E7000000}"/>
    <cellStyle name="Normal 3 7 2" xfId="318" xr:uid="{00000000-0005-0000-0000-0000E8000000}"/>
    <cellStyle name="Normal 3 7 3" xfId="317" xr:uid="{00000000-0005-0000-0000-0000E9000000}"/>
    <cellStyle name="Normal 4" xfId="85" xr:uid="{00000000-0005-0000-0000-0000EA000000}"/>
    <cellStyle name="Normal 4 2" xfId="86" xr:uid="{00000000-0005-0000-0000-0000EB000000}"/>
    <cellStyle name="Normal 4 2 2" xfId="321" xr:uid="{00000000-0005-0000-0000-0000EC000000}"/>
    <cellStyle name="Normal 4 2 3" xfId="320" xr:uid="{00000000-0005-0000-0000-0000ED000000}"/>
    <cellStyle name="Normal 4 3" xfId="87" xr:uid="{00000000-0005-0000-0000-0000EE000000}"/>
    <cellStyle name="Normal 4 3 2" xfId="322" xr:uid="{00000000-0005-0000-0000-0000EF000000}"/>
    <cellStyle name="Normal 4 4" xfId="319" xr:uid="{00000000-0005-0000-0000-0000F0000000}"/>
    <cellStyle name="Normal 5" xfId="88" xr:uid="{00000000-0005-0000-0000-0000F1000000}"/>
    <cellStyle name="Normal 5 2" xfId="89" xr:uid="{00000000-0005-0000-0000-0000F2000000}"/>
    <cellStyle name="Normal 5 2 2" xfId="323" xr:uid="{00000000-0005-0000-0000-0000F3000000}"/>
    <cellStyle name="Normal 5 3" xfId="90" xr:uid="{00000000-0005-0000-0000-0000F4000000}"/>
    <cellStyle name="Normal 5 3 2" xfId="324" xr:uid="{00000000-0005-0000-0000-0000F5000000}"/>
    <cellStyle name="Normal 6" xfId="91" xr:uid="{00000000-0005-0000-0000-0000F6000000}"/>
    <cellStyle name="Normal 6 2" xfId="92" xr:uid="{00000000-0005-0000-0000-0000F7000000}"/>
    <cellStyle name="Normal 6 2 2" xfId="271" xr:uid="{00000000-0005-0000-0000-0000F8000000}"/>
    <cellStyle name="Normal 6 3" xfId="244" xr:uid="{00000000-0005-0000-0000-0000F9000000}"/>
    <cellStyle name="Normal 6 4" xfId="245" xr:uid="{00000000-0005-0000-0000-0000FA000000}"/>
    <cellStyle name="Normal 7" xfId="93" xr:uid="{00000000-0005-0000-0000-0000FB000000}"/>
    <cellStyle name="Normal 7 2" xfId="94" xr:uid="{00000000-0005-0000-0000-0000FC000000}"/>
    <cellStyle name="Normal 7 2 2" xfId="273" xr:uid="{00000000-0005-0000-0000-0000FD000000}"/>
    <cellStyle name="Normal 7 2 3" xfId="325" xr:uid="{00000000-0005-0000-0000-0000FE000000}"/>
    <cellStyle name="Normal 7 3" xfId="95" xr:uid="{00000000-0005-0000-0000-0000FF000000}"/>
    <cellStyle name="Normal 7 4" xfId="96" xr:uid="{00000000-0005-0000-0000-000000010000}"/>
    <cellStyle name="Normal 7 5" xfId="272" xr:uid="{00000000-0005-0000-0000-000001010000}"/>
    <cellStyle name="Normal 8" xfId="97" xr:uid="{00000000-0005-0000-0000-000002010000}"/>
    <cellStyle name="Normal 8 2" xfId="98" xr:uid="{00000000-0005-0000-0000-000003010000}"/>
    <cellStyle name="Normal 8 3" xfId="326" xr:uid="{00000000-0005-0000-0000-000004010000}"/>
    <cellStyle name="Normal 9" xfId="99" xr:uid="{00000000-0005-0000-0000-000005010000}"/>
    <cellStyle name="Normal 9 2" xfId="246" xr:uid="{00000000-0005-0000-0000-000006010000}"/>
    <cellStyle name="Normal 9 2 2" xfId="328" xr:uid="{00000000-0005-0000-0000-000007010000}"/>
    <cellStyle name="Normal 9 3" xfId="261" xr:uid="{00000000-0005-0000-0000-000008010000}"/>
    <cellStyle name="Normal 9 4" xfId="327" xr:uid="{00000000-0005-0000-0000-000009010000}"/>
    <cellStyle name="Normal 99" xfId="329" xr:uid="{00000000-0005-0000-0000-00000A010000}"/>
    <cellStyle name="Notas 2" xfId="100" xr:uid="{00000000-0005-0000-0000-00000B010000}"/>
    <cellStyle name="Notas 2 2" xfId="101" xr:uid="{00000000-0005-0000-0000-00000C010000}"/>
    <cellStyle name="Notas 2 2 2" xfId="102" xr:uid="{00000000-0005-0000-0000-00000D010000}"/>
    <cellStyle name="Notas 2 2 2 2" xfId="103" xr:uid="{00000000-0005-0000-0000-00000E010000}"/>
    <cellStyle name="Notas 2 2 2 2 2" xfId="104" xr:uid="{00000000-0005-0000-0000-00000F010000}"/>
    <cellStyle name="Notas 2 2 2 3" xfId="105" xr:uid="{00000000-0005-0000-0000-000010010000}"/>
    <cellStyle name="Notas 2 2 3" xfId="106" xr:uid="{00000000-0005-0000-0000-000011010000}"/>
    <cellStyle name="Notas 2 2 3 2" xfId="107" xr:uid="{00000000-0005-0000-0000-000012010000}"/>
    <cellStyle name="Notas 2 2 4" xfId="108" xr:uid="{00000000-0005-0000-0000-000013010000}"/>
    <cellStyle name="Notas 2 3" xfId="109" xr:uid="{00000000-0005-0000-0000-000014010000}"/>
    <cellStyle name="Notas 2 3 2" xfId="110" xr:uid="{00000000-0005-0000-0000-000015010000}"/>
    <cellStyle name="Notas 2 3 2 2" xfId="111" xr:uid="{00000000-0005-0000-0000-000016010000}"/>
    <cellStyle name="Notas 2 3 2 2 2" xfId="112" xr:uid="{00000000-0005-0000-0000-000017010000}"/>
    <cellStyle name="Notas 2 3 2 3" xfId="113" xr:uid="{00000000-0005-0000-0000-000018010000}"/>
    <cellStyle name="Notas 2 3 3" xfId="114" xr:uid="{00000000-0005-0000-0000-000019010000}"/>
    <cellStyle name="Notas 2 3 3 2" xfId="115" xr:uid="{00000000-0005-0000-0000-00001A010000}"/>
    <cellStyle name="Notas 2 3 4" xfId="116" xr:uid="{00000000-0005-0000-0000-00001B010000}"/>
    <cellStyle name="Notas 2 4" xfId="117" xr:uid="{00000000-0005-0000-0000-00001C010000}"/>
    <cellStyle name="Notas 2 4 2" xfId="118" xr:uid="{00000000-0005-0000-0000-00001D010000}"/>
    <cellStyle name="Notas 2 4 2 2" xfId="119" xr:uid="{00000000-0005-0000-0000-00001E010000}"/>
    <cellStyle name="Notas 2 4 2 2 2" xfId="120" xr:uid="{00000000-0005-0000-0000-00001F010000}"/>
    <cellStyle name="Notas 2 4 2 3" xfId="121" xr:uid="{00000000-0005-0000-0000-000020010000}"/>
    <cellStyle name="Notas 2 4 3" xfId="122" xr:uid="{00000000-0005-0000-0000-000021010000}"/>
    <cellStyle name="Notas 2 4 3 2" xfId="123" xr:uid="{00000000-0005-0000-0000-000022010000}"/>
    <cellStyle name="Notas 2 4 4" xfId="124" xr:uid="{00000000-0005-0000-0000-000023010000}"/>
    <cellStyle name="Notas 2 5" xfId="125" xr:uid="{00000000-0005-0000-0000-000024010000}"/>
    <cellStyle name="Notas 2 5 2" xfId="126" xr:uid="{00000000-0005-0000-0000-000025010000}"/>
    <cellStyle name="Notas 2 5 2 2" xfId="127" xr:uid="{00000000-0005-0000-0000-000026010000}"/>
    <cellStyle name="Notas 2 5 3" xfId="128" xr:uid="{00000000-0005-0000-0000-000027010000}"/>
    <cellStyle name="Notas 2 5 3 2" xfId="129" xr:uid="{00000000-0005-0000-0000-000028010000}"/>
    <cellStyle name="Notas 2 5 4" xfId="130" xr:uid="{00000000-0005-0000-0000-000029010000}"/>
    <cellStyle name="Notas 2 6" xfId="131" xr:uid="{00000000-0005-0000-0000-00002A010000}"/>
    <cellStyle name="Notas 2 6 2" xfId="132" xr:uid="{00000000-0005-0000-0000-00002B010000}"/>
    <cellStyle name="Notas 2 6 2 2" xfId="133" xr:uid="{00000000-0005-0000-0000-00002C010000}"/>
    <cellStyle name="Notas 2 6 3" xfId="134" xr:uid="{00000000-0005-0000-0000-00002D010000}"/>
    <cellStyle name="Notas 2 6 3 2" xfId="135" xr:uid="{00000000-0005-0000-0000-00002E010000}"/>
    <cellStyle name="Notas 2 6 4" xfId="136" xr:uid="{00000000-0005-0000-0000-00002F010000}"/>
    <cellStyle name="Notas 2 7" xfId="137" xr:uid="{00000000-0005-0000-0000-000030010000}"/>
    <cellStyle name="Notas 2 7 2" xfId="138" xr:uid="{00000000-0005-0000-0000-000031010000}"/>
    <cellStyle name="Notas 2 8" xfId="139" xr:uid="{00000000-0005-0000-0000-000032010000}"/>
    <cellStyle name="Notas 2 9" xfId="330" xr:uid="{00000000-0005-0000-0000-000033010000}"/>
    <cellStyle name="Notas 3" xfId="331" xr:uid="{00000000-0005-0000-0000-000034010000}"/>
    <cellStyle name="Notas 4" xfId="332" xr:uid="{00000000-0005-0000-0000-000035010000}"/>
    <cellStyle name="Note" xfId="140" xr:uid="{00000000-0005-0000-0000-000036010000}"/>
    <cellStyle name="Note 2" xfId="247" xr:uid="{00000000-0005-0000-0000-000037010000}"/>
    <cellStyle name="Note 3" xfId="248" xr:uid="{00000000-0005-0000-0000-000038010000}"/>
    <cellStyle name="Output" xfId="141" xr:uid="{00000000-0005-0000-0000-000039010000}"/>
    <cellStyle name="Output 2" xfId="249" xr:uid="{00000000-0005-0000-0000-00003A010000}"/>
    <cellStyle name="Output 3" xfId="250" xr:uid="{00000000-0005-0000-0000-00003B010000}"/>
    <cellStyle name="Porcentagem 2" xfId="142" xr:uid="{00000000-0005-0000-0000-00003C010000}"/>
    <cellStyle name="Porcentaje 2" xfId="143" xr:uid="{00000000-0005-0000-0000-00003D010000}"/>
    <cellStyle name="Porcentaje 2 2" xfId="144" xr:uid="{00000000-0005-0000-0000-00003E010000}"/>
    <cellStyle name="Porcentaje 2 2 2" xfId="145" xr:uid="{00000000-0005-0000-0000-00003F010000}"/>
    <cellStyle name="Porcentaje 2 2 2 2" xfId="334" xr:uid="{00000000-0005-0000-0000-000040010000}"/>
    <cellStyle name="Porcentaje 2 2 3" xfId="260" xr:uid="{00000000-0005-0000-0000-000041010000}"/>
    <cellStyle name="Porcentaje 2 2 4" xfId="333" xr:uid="{00000000-0005-0000-0000-000042010000}"/>
    <cellStyle name="Porcentaje 2 3" xfId="146" xr:uid="{00000000-0005-0000-0000-000043010000}"/>
    <cellStyle name="Porcentaje 2 3 2" xfId="336" xr:uid="{00000000-0005-0000-0000-000044010000}"/>
    <cellStyle name="Porcentaje 2 3 3" xfId="335" xr:uid="{00000000-0005-0000-0000-000045010000}"/>
    <cellStyle name="Porcentaje 2 4" xfId="337" xr:uid="{00000000-0005-0000-0000-000046010000}"/>
    <cellStyle name="Porcentaje 2 4 2" xfId="338" xr:uid="{00000000-0005-0000-0000-000047010000}"/>
    <cellStyle name="Porcentaje 2 5" xfId="339" xr:uid="{00000000-0005-0000-0000-000048010000}"/>
    <cellStyle name="Porcentaje 2 5 2" xfId="340" xr:uid="{00000000-0005-0000-0000-000049010000}"/>
    <cellStyle name="Porcentaje 2 6" xfId="341" xr:uid="{00000000-0005-0000-0000-00004A010000}"/>
    <cellStyle name="Porcentaje 2 6 2" xfId="342" xr:uid="{00000000-0005-0000-0000-00004B010000}"/>
    <cellStyle name="Porcentaje 2 7" xfId="343" xr:uid="{00000000-0005-0000-0000-00004C010000}"/>
    <cellStyle name="Porcentaje 3" xfId="147" xr:uid="{00000000-0005-0000-0000-00004D010000}"/>
    <cellStyle name="Porcentaje 3 2" xfId="148" xr:uid="{00000000-0005-0000-0000-00004E010000}"/>
    <cellStyle name="Porcentaje 3 3" xfId="149" xr:uid="{00000000-0005-0000-0000-00004F010000}"/>
    <cellStyle name="Porcentaje 3 4" xfId="275" xr:uid="{00000000-0005-0000-0000-000050010000}"/>
    <cellStyle name="Porcentaje 4" xfId="150" xr:uid="{00000000-0005-0000-0000-000051010000}"/>
    <cellStyle name="Porcentaje 4 2" xfId="265" xr:uid="{00000000-0005-0000-0000-000052010000}"/>
    <cellStyle name="Porcentaje 5" xfId="151" xr:uid="{00000000-0005-0000-0000-000053010000}"/>
    <cellStyle name="Porcentaje 5 2" xfId="262" xr:uid="{00000000-0005-0000-0000-000054010000}"/>
    <cellStyle name="Porcentual 2" xfId="152" xr:uid="{00000000-0005-0000-0000-000055010000}"/>
    <cellStyle name="Porcentual 3" xfId="153" xr:uid="{00000000-0005-0000-0000-000056010000}"/>
    <cellStyle name="Porcentual 3 2" xfId="276" xr:uid="{00000000-0005-0000-0000-000057010000}"/>
    <cellStyle name="Porcentual 4" xfId="154" xr:uid="{00000000-0005-0000-0000-000058010000}"/>
    <cellStyle name="Separador de milhares 2" xfId="155" xr:uid="{00000000-0005-0000-0000-000059010000}"/>
    <cellStyle name="Separador de milhares 2 2" xfId="348" xr:uid="{00000000-0005-0000-0000-00005A010000}"/>
    <cellStyle name="TableStyleLight1" xfId="251" xr:uid="{00000000-0005-0000-0000-00005B010000}"/>
    <cellStyle name="Texto de advertencia 2" xfId="156" xr:uid="{00000000-0005-0000-0000-00005C010000}"/>
    <cellStyle name="Title" xfId="157" xr:uid="{00000000-0005-0000-0000-00005D010000}"/>
    <cellStyle name="Title 2" xfId="252" xr:uid="{00000000-0005-0000-0000-00005E010000}"/>
    <cellStyle name="Title 3" xfId="253" xr:uid="{00000000-0005-0000-0000-00005F010000}"/>
    <cellStyle name="Total 2" xfId="254" xr:uid="{00000000-0005-0000-0000-000060010000}"/>
    <cellStyle name="Total 3" xfId="255" xr:uid="{00000000-0005-0000-0000-000061010000}"/>
    <cellStyle name="Warning Text" xfId="158" xr:uid="{00000000-0005-0000-0000-000062010000}"/>
    <cellStyle name="Warning Text 2" xfId="256" xr:uid="{00000000-0005-0000-0000-000063010000}"/>
    <cellStyle name="Warning Text 3" xfId="257" xr:uid="{00000000-0005-0000-0000-000064010000}"/>
  </cellStyles>
  <dxfs count="0"/>
  <tableStyles count="0" defaultTableStyle="TableStyleMedium2" defaultPivotStyle="PivotStyleLight16"/>
  <colors>
    <mruColors>
      <color rgb="FFF44236"/>
      <color rgb="FFFF9700"/>
      <color rgb="FF3E50B4"/>
      <color rgb="FFFEC107"/>
      <color rgb="FFFFE93B"/>
      <color rgb="FF4BAF4F"/>
      <color rgb="FF607C8A"/>
      <color rgb="FF2095F2"/>
      <color rgb="FF9D9D9D"/>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2.pn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25400</xdr:colOff>
      <xdr:row>99</xdr:row>
      <xdr:rowOff>177800</xdr:rowOff>
    </xdr:from>
    <xdr:to>
      <xdr:col>12</xdr:col>
      <xdr:colOff>0</xdr:colOff>
      <xdr:row>102</xdr:row>
      <xdr:rowOff>12699</xdr:rowOff>
    </xdr:to>
    <xdr:sp macro="" textlink="">
      <xdr:nvSpPr>
        <xdr:cNvPr id="1031" name="cmdGenerarCopia" hidden="1">
          <a:extLst>
            <a:ext uri="{63B3BB69-23CF-44E3-9099-C40C66FF867C}">
              <a14:compatExt xmlns:a14="http://schemas.microsoft.com/office/drawing/2010/main"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58</xdr:col>
      <xdr:colOff>65033</xdr:colOff>
      <xdr:row>103</xdr:row>
      <xdr:rowOff>45834</xdr:rowOff>
    </xdr:from>
    <xdr:to>
      <xdr:col>62</xdr:col>
      <xdr:colOff>16265</xdr:colOff>
      <xdr:row>104</xdr:row>
      <xdr:rowOff>342900</xdr:rowOff>
    </xdr:to>
    <xdr:pic>
      <xdr:nvPicPr>
        <xdr:cNvPr id="7" name="Logo2" descr="Sello Choucair con registro">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lum bright="70000" contrast="-70000"/>
        </a:blip>
        <a:srcRect l="14368" t="10191" r="18391" b="14650"/>
        <a:stretch>
          <a:fillRect/>
        </a:stretch>
      </xdr:blipFill>
      <xdr:spPr bwMode="auto">
        <a:xfrm>
          <a:off x="10561583" y="23353509"/>
          <a:ext cx="675132" cy="678066"/>
        </a:xfrm>
        <a:prstGeom prst="rect">
          <a:avLst/>
        </a:prstGeom>
        <a:noFill/>
        <a:ln w="9525">
          <a:noFill/>
          <a:miter lim="800000"/>
          <a:headEnd/>
          <a:tailEnd/>
        </a:ln>
      </xdr:spPr>
    </xdr:pic>
    <xdr:clientData/>
  </xdr:twoCellAnchor>
  <xdr:twoCellAnchor editAs="oneCell">
    <xdr:from>
      <xdr:col>13</xdr:col>
      <xdr:colOff>0</xdr:colOff>
      <xdr:row>95</xdr:row>
      <xdr:rowOff>0</xdr:rowOff>
    </xdr:from>
    <xdr:to>
      <xdr:col>22</xdr:col>
      <xdr:colOff>205153</xdr:colOff>
      <xdr:row>96</xdr:row>
      <xdr:rowOff>12700</xdr:rowOff>
    </xdr:to>
    <xdr:sp macro="" textlink="">
      <xdr:nvSpPr>
        <xdr:cNvPr id="1032" name="cmdAceptar" hidden="1">
          <a:extLst>
            <a:ext uri="{63B3BB69-23CF-44E3-9099-C40C66FF867C}">
              <a14:compatExt xmlns:a14="http://schemas.microsoft.com/office/drawing/2010/main"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76200</xdr:colOff>
      <xdr:row>2</xdr:row>
      <xdr:rowOff>104775</xdr:rowOff>
    </xdr:from>
    <xdr:to>
      <xdr:col>14</xdr:col>
      <xdr:colOff>114300</xdr:colOff>
      <xdr:row>5</xdr:row>
      <xdr:rowOff>80320</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8150" y="485775"/>
          <a:ext cx="2209800" cy="547045"/>
        </a:xfrm>
        <a:prstGeom prst="rect">
          <a:avLst/>
        </a:prstGeom>
      </xdr:spPr>
    </xdr:pic>
    <xdr:clientData/>
  </xdr:twoCellAnchor>
  <xdr:twoCellAnchor editAs="oneCell">
    <xdr:from>
      <xdr:col>2</xdr:col>
      <xdr:colOff>25400</xdr:colOff>
      <xdr:row>99</xdr:row>
      <xdr:rowOff>177800</xdr:rowOff>
    </xdr:from>
    <xdr:to>
      <xdr:col>12</xdr:col>
      <xdr:colOff>0</xdr:colOff>
      <xdr:row>102</xdr:row>
      <xdr:rowOff>12700</xdr:rowOff>
    </xdr:to>
    <xdr:pic>
      <xdr:nvPicPr>
        <xdr:cNvPr id="2" name="cmdGenerarCopia">
          <a:extLst>
            <a:ext uri="{FF2B5EF4-FFF2-40B4-BE49-F238E27FC236}">
              <a16:creationId xmlns:a16="http://schemas.microsoft.com/office/drawing/2014/main" id="{383A702B-2CD5-AB3B-8B1C-3AF4C5D10842}"/>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800" y="32905700"/>
          <a:ext cx="2006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0</xdr:colOff>
      <xdr:row>95</xdr:row>
      <xdr:rowOff>0</xdr:rowOff>
    </xdr:from>
    <xdr:to>
      <xdr:col>22</xdr:col>
      <xdr:colOff>205153</xdr:colOff>
      <xdr:row>96</xdr:row>
      <xdr:rowOff>12700</xdr:rowOff>
    </xdr:to>
    <xdr:pic>
      <xdr:nvPicPr>
        <xdr:cNvPr id="3" name="cmdAceptar">
          <a:extLst>
            <a:ext uri="{FF2B5EF4-FFF2-40B4-BE49-F238E27FC236}">
              <a16:creationId xmlns:a16="http://schemas.microsoft.com/office/drawing/2014/main" id="{7CC8F203-E439-01E9-61CC-93FA58BDECE6}"/>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41600" y="31775400"/>
          <a:ext cx="20320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25400</xdr:colOff>
      <xdr:row>65</xdr:row>
      <xdr:rowOff>177800</xdr:rowOff>
    </xdr:from>
    <xdr:to>
      <xdr:col>12</xdr:col>
      <xdr:colOff>0</xdr:colOff>
      <xdr:row>68</xdr:row>
      <xdr:rowOff>12700</xdr:rowOff>
    </xdr:to>
    <xdr:sp macro="" textlink="">
      <xdr:nvSpPr>
        <xdr:cNvPr id="7169" name="cmdGenerarCopia" hidden="1">
          <a:extLst>
            <a:ext uri="{63B3BB69-23CF-44E3-9099-C40C66FF867C}">
              <a14:compatExt xmlns:a14="http://schemas.microsoft.com/office/drawing/2010/main"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58</xdr:col>
      <xdr:colOff>65033</xdr:colOff>
      <xdr:row>69</xdr:row>
      <xdr:rowOff>45834</xdr:rowOff>
    </xdr:from>
    <xdr:to>
      <xdr:col>62</xdr:col>
      <xdr:colOff>16265</xdr:colOff>
      <xdr:row>70</xdr:row>
      <xdr:rowOff>342900</xdr:rowOff>
    </xdr:to>
    <xdr:pic>
      <xdr:nvPicPr>
        <xdr:cNvPr id="4" name="Logo2" descr="Sello Choucair con registro">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lum bright="70000" contrast="-70000"/>
        </a:blip>
        <a:srcRect l="14368" t="10191" r="18391" b="14650"/>
        <a:stretch>
          <a:fillRect/>
        </a:stretch>
      </xdr:blipFill>
      <xdr:spPr bwMode="auto">
        <a:xfrm>
          <a:off x="10561583" y="23039184"/>
          <a:ext cx="675132" cy="678066"/>
        </a:xfrm>
        <a:prstGeom prst="rect">
          <a:avLst/>
        </a:prstGeom>
        <a:noFill/>
        <a:ln w="9525">
          <a:noFill/>
          <a:miter lim="800000"/>
          <a:headEnd/>
          <a:tailEnd/>
        </a:ln>
      </xdr:spPr>
    </xdr:pic>
    <xdr:clientData/>
  </xdr:twoCellAnchor>
  <xdr:twoCellAnchor editAs="oneCell">
    <xdr:from>
      <xdr:col>2</xdr:col>
      <xdr:colOff>76200</xdr:colOff>
      <xdr:row>2</xdr:row>
      <xdr:rowOff>123825</xdr:rowOff>
    </xdr:from>
    <xdr:to>
      <xdr:col>14</xdr:col>
      <xdr:colOff>114300</xdr:colOff>
      <xdr:row>5</xdr:row>
      <xdr:rowOff>99370</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8150" y="504825"/>
          <a:ext cx="2209800" cy="547045"/>
        </a:xfrm>
        <a:prstGeom prst="rect">
          <a:avLst/>
        </a:prstGeom>
      </xdr:spPr>
    </xdr:pic>
    <xdr:clientData/>
  </xdr:twoCellAnchor>
  <xdr:twoCellAnchor editAs="oneCell">
    <xdr:from>
      <xdr:col>2</xdr:col>
      <xdr:colOff>25400</xdr:colOff>
      <xdr:row>65</xdr:row>
      <xdr:rowOff>177800</xdr:rowOff>
    </xdr:from>
    <xdr:to>
      <xdr:col>12</xdr:col>
      <xdr:colOff>0</xdr:colOff>
      <xdr:row>68</xdr:row>
      <xdr:rowOff>12700</xdr:rowOff>
    </xdr:to>
    <xdr:pic>
      <xdr:nvPicPr>
        <xdr:cNvPr id="2" name="cmdGenerarCopia">
          <a:extLst>
            <a:ext uri="{FF2B5EF4-FFF2-40B4-BE49-F238E27FC236}">
              <a16:creationId xmlns:a16="http://schemas.microsoft.com/office/drawing/2014/main" id="{CBD7496C-51F2-B8AF-4E3C-27209CB1F5C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800" y="16840200"/>
          <a:ext cx="2006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25400</xdr:colOff>
      <xdr:row>68</xdr:row>
      <xdr:rowOff>177800</xdr:rowOff>
    </xdr:from>
    <xdr:to>
      <xdr:col>12</xdr:col>
      <xdr:colOff>0</xdr:colOff>
      <xdr:row>71</xdr:row>
      <xdr:rowOff>12700</xdr:rowOff>
    </xdr:to>
    <xdr:sp macro="" textlink="">
      <xdr:nvSpPr>
        <xdr:cNvPr id="8193" name="cmdGenerarCopia" hidden="1">
          <a:extLst>
            <a:ext uri="{63B3BB69-23CF-44E3-9099-C40C66FF867C}">
              <a14:compatExt xmlns:a14="http://schemas.microsoft.com/office/drawing/2010/main"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58</xdr:col>
      <xdr:colOff>65033</xdr:colOff>
      <xdr:row>72</xdr:row>
      <xdr:rowOff>45834</xdr:rowOff>
    </xdr:from>
    <xdr:to>
      <xdr:col>62</xdr:col>
      <xdr:colOff>16265</xdr:colOff>
      <xdr:row>73</xdr:row>
      <xdr:rowOff>342900</xdr:rowOff>
    </xdr:to>
    <xdr:pic>
      <xdr:nvPicPr>
        <xdr:cNvPr id="4" name="Logo2" descr="Sello Choucair con registro">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lum bright="70000" contrast="-70000"/>
        </a:blip>
        <a:srcRect l="14368" t="10191" r="18391" b="14650"/>
        <a:stretch>
          <a:fillRect/>
        </a:stretch>
      </xdr:blipFill>
      <xdr:spPr bwMode="auto">
        <a:xfrm>
          <a:off x="10561583" y="17362284"/>
          <a:ext cx="675132" cy="678066"/>
        </a:xfrm>
        <a:prstGeom prst="rect">
          <a:avLst/>
        </a:prstGeom>
        <a:noFill/>
        <a:ln w="9525">
          <a:noFill/>
          <a:miter lim="800000"/>
          <a:headEnd/>
          <a:tailEnd/>
        </a:ln>
      </xdr:spPr>
    </xdr:pic>
    <xdr:clientData/>
  </xdr:twoCellAnchor>
  <xdr:twoCellAnchor editAs="oneCell">
    <xdr:from>
      <xdr:col>2</xdr:col>
      <xdr:colOff>66675</xdr:colOff>
      <xdr:row>2</xdr:row>
      <xdr:rowOff>114300</xdr:rowOff>
    </xdr:from>
    <xdr:to>
      <xdr:col>14</xdr:col>
      <xdr:colOff>104775</xdr:colOff>
      <xdr:row>5</xdr:row>
      <xdr:rowOff>89845</xdr:rowOff>
    </xdr:to>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8625" y="495300"/>
          <a:ext cx="2209800" cy="547045"/>
        </a:xfrm>
        <a:prstGeom prst="rect">
          <a:avLst/>
        </a:prstGeom>
      </xdr:spPr>
    </xdr:pic>
    <xdr:clientData/>
  </xdr:twoCellAnchor>
  <xdr:twoCellAnchor editAs="oneCell">
    <xdr:from>
      <xdr:col>2</xdr:col>
      <xdr:colOff>25400</xdr:colOff>
      <xdr:row>68</xdr:row>
      <xdr:rowOff>177800</xdr:rowOff>
    </xdr:from>
    <xdr:to>
      <xdr:col>12</xdr:col>
      <xdr:colOff>0</xdr:colOff>
      <xdr:row>71</xdr:row>
      <xdr:rowOff>12700</xdr:rowOff>
    </xdr:to>
    <xdr:pic>
      <xdr:nvPicPr>
        <xdr:cNvPr id="2" name="cmdGenerarCopia">
          <a:extLst>
            <a:ext uri="{FF2B5EF4-FFF2-40B4-BE49-F238E27FC236}">
              <a16:creationId xmlns:a16="http://schemas.microsoft.com/office/drawing/2014/main" id="{0170AFB2-A80C-9857-3987-1137204BC5A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800" y="18224500"/>
          <a:ext cx="2006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25400</xdr:colOff>
      <xdr:row>60</xdr:row>
      <xdr:rowOff>177800</xdr:rowOff>
    </xdr:from>
    <xdr:to>
      <xdr:col>12</xdr:col>
      <xdr:colOff>0</xdr:colOff>
      <xdr:row>63</xdr:row>
      <xdr:rowOff>12700</xdr:rowOff>
    </xdr:to>
    <xdr:sp macro="" textlink="">
      <xdr:nvSpPr>
        <xdr:cNvPr id="14337" name="cmdGenerarCopia" hidden="1">
          <a:extLst>
            <a:ext uri="{63B3BB69-23CF-44E3-9099-C40C66FF867C}">
              <a14:compatExt xmlns:a14="http://schemas.microsoft.com/office/drawing/2010/main"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58</xdr:col>
      <xdr:colOff>65033</xdr:colOff>
      <xdr:row>64</xdr:row>
      <xdr:rowOff>45834</xdr:rowOff>
    </xdr:from>
    <xdr:to>
      <xdr:col>62</xdr:col>
      <xdr:colOff>16265</xdr:colOff>
      <xdr:row>65</xdr:row>
      <xdr:rowOff>342900</xdr:rowOff>
    </xdr:to>
    <xdr:pic>
      <xdr:nvPicPr>
        <xdr:cNvPr id="4" name="Logo2" descr="Sello Choucair con registro">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lum bright="70000" contrast="-70000"/>
        </a:blip>
        <a:srcRect l="14368" t="10191" r="18391" b="14650"/>
        <a:stretch>
          <a:fillRect/>
        </a:stretch>
      </xdr:blipFill>
      <xdr:spPr bwMode="auto">
        <a:xfrm>
          <a:off x="10561583" y="18743409"/>
          <a:ext cx="675132" cy="678066"/>
        </a:xfrm>
        <a:prstGeom prst="rect">
          <a:avLst/>
        </a:prstGeom>
        <a:noFill/>
        <a:ln w="9525">
          <a:noFill/>
          <a:miter lim="800000"/>
          <a:headEnd/>
          <a:tailEnd/>
        </a:ln>
      </xdr:spPr>
    </xdr:pic>
    <xdr:clientData/>
  </xdr:twoCellAnchor>
  <xdr:twoCellAnchor editAs="oneCell">
    <xdr:from>
      <xdr:col>2</xdr:col>
      <xdr:colOff>66675</xdr:colOff>
      <xdr:row>2</xdr:row>
      <xdr:rowOff>123825</xdr:rowOff>
    </xdr:from>
    <xdr:to>
      <xdr:col>14</xdr:col>
      <xdr:colOff>104775</xdr:colOff>
      <xdr:row>5</xdr:row>
      <xdr:rowOff>99370</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8625" y="504825"/>
          <a:ext cx="2209800" cy="547045"/>
        </a:xfrm>
        <a:prstGeom prst="rect">
          <a:avLst/>
        </a:prstGeom>
      </xdr:spPr>
    </xdr:pic>
    <xdr:clientData/>
  </xdr:twoCellAnchor>
  <xdr:twoCellAnchor editAs="oneCell">
    <xdr:from>
      <xdr:col>2</xdr:col>
      <xdr:colOff>25400</xdr:colOff>
      <xdr:row>60</xdr:row>
      <xdr:rowOff>177800</xdr:rowOff>
    </xdr:from>
    <xdr:to>
      <xdr:col>12</xdr:col>
      <xdr:colOff>0</xdr:colOff>
      <xdr:row>63</xdr:row>
      <xdr:rowOff>12700</xdr:rowOff>
    </xdr:to>
    <xdr:pic>
      <xdr:nvPicPr>
        <xdr:cNvPr id="2" name="cmdGenerarCopia">
          <a:extLst>
            <a:ext uri="{FF2B5EF4-FFF2-40B4-BE49-F238E27FC236}">
              <a16:creationId xmlns:a16="http://schemas.microsoft.com/office/drawing/2014/main" id="{ECE79AA8-C823-6111-516B-C382638121B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800" y="16586200"/>
          <a:ext cx="2006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25400</xdr:colOff>
      <xdr:row>53</xdr:row>
      <xdr:rowOff>177800</xdr:rowOff>
    </xdr:from>
    <xdr:to>
      <xdr:col>12</xdr:col>
      <xdr:colOff>0</xdr:colOff>
      <xdr:row>56</xdr:row>
      <xdr:rowOff>12700</xdr:rowOff>
    </xdr:to>
    <xdr:sp macro="" textlink="">
      <xdr:nvSpPr>
        <xdr:cNvPr id="15361" name="cmdGenerarCopia" hidden="1">
          <a:extLst>
            <a:ext uri="{63B3BB69-23CF-44E3-9099-C40C66FF867C}">
              <a14:compatExt xmlns:a14="http://schemas.microsoft.com/office/drawing/2010/main"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58</xdr:col>
      <xdr:colOff>65033</xdr:colOff>
      <xdr:row>57</xdr:row>
      <xdr:rowOff>45834</xdr:rowOff>
    </xdr:from>
    <xdr:to>
      <xdr:col>62</xdr:col>
      <xdr:colOff>16265</xdr:colOff>
      <xdr:row>58</xdr:row>
      <xdr:rowOff>342900</xdr:rowOff>
    </xdr:to>
    <xdr:pic>
      <xdr:nvPicPr>
        <xdr:cNvPr id="4" name="Logo2" descr="Sello Choucair con registro">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cstate="print">
          <a:lum bright="70000" contrast="-70000"/>
        </a:blip>
        <a:srcRect l="14368" t="10191" r="18391" b="14650"/>
        <a:stretch>
          <a:fillRect/>
        </a:stretch>
      </xdr:blipFill>
      <xdr:spPr bwMode="auto">
        <a:xfrm>
          <a:off x="10561583" y="17105109"/>
          <a:ext cx="675132" cy="678066"/>
        </a:xfrm>
        <a:prstGeom prst="rect">
          <a:avLst/>
        </a:prstGeom>
        <a:noFill/>
        <a:ln w="9525">
          <a:noFill/>
          <a:miter lim="800000"/>
          <a:headEnd/>
          <a:tailEnd/>
        </a:ln>
      </xdr:spPr>
    </xdr:pic>
    <xdr:clientData/>
  </xdr:twoCellAnchor>
  <xdr:twoCellAnchor editAs="oneCell">
    <xdr:from>
      <xdr:col>2</xdr:col>
      <xdr:colOff>76200</xdr:colOff>
      <xdr:row>2</xdr:row>
      <xdr:rowOff>114300</xdr:rowOff>
    </xdr:from>
    <xdr:to>
      <xdr:col>14</xdr:col>
      <xdr:colOff>114300</xdr:colOff>
      <xdr:row>5</xdr:row>
      <xdr:rowOff>89845</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8150" y="495300"/>
          <a:ext cx="2209800" cy="547045"/>
        </a:xfrm>
        <a:prstGeom prst="rect">
          <a:avLst/>
        </a:prstGeom>
      </xdr:spPr>
    </xdr:pic>
    <xdr:clientData/>
  </xdr:twoCellAnchor>
  <xdr:twoCellAnchor editAs="oneCell">
    <xdr:from>
      <xdr:col>2</xdr:col>
      <xdr:colOff>25400</xdr:colOff>
      <xdr:row>53</xdr:row>
      <xdr:rowOff>177800</xdr:rowOff>
    </xdr:from>
    <xdr:to>
      <xdr:col>12</xdr:col>
      <xdr:colOff>0</xdr:colOff>
      <xdr:row>56</xdr:row>
      <xdr:rowOff>12700</xdr:rowOff>
    </xdr:to>
    <xdr:pic>
      <xdr:nvPicPr>
        <xdr:cNvPr id="2" name="cmdGenerarCopia">
          <a:extLst>
            <a:ext uri="{FF2B5EF4-FFF2-40B4-BE49-F238E27FC236}">
              <a16:creationId xmlns:a16="http://schemas.microsoft.com/office/drawing/2014/main" id="{62EF324D-D87B-08FD-A179-B0D954F7DF7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800" y="14757400"/>
          <a:ext cx="2006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25400</xdr:colOff>
      <xdr:row>47</xdr:row>
      <xdr:rowOff>177800</xdr:rowOff>
    </xdr:from>
    <xdr:to>
      <xdr:col>12</xdr:col>
      <xdr:colOff>0</xdr:colOff>
      <xdr:row>50</xdr:row>
      <xdr:rowOff>12700</xdr:rowOff>
    </xdr:to>
    <xdr:sp macro="" textlink="">
      <xdr:nvSpPr>
        <xdr:cNvPr id="16385" name="cmdGenerarCopia" hidden="1">
          <a:extLst>
            <a:ext uri="{63B3BB69-23CF-44E3-9099-C40C66FF867C}">
              <a14:compatExt xmlns:a14="http://schemas.microsoft.com/office/drawing/2010/main"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58</xdr:col>
      <xdr:colOff>65033</xdr:colOff>
      <xdr:row>51</xdr:row>
      <xdr:rowOff>45834</xdr:rowOff>
    </xdr:from>
    <xdr:to>
      <xdr:col>62</xdr:col>
      <xdr:colOff>16265</xdr:colOff>
      <xdr:row>52</xdr:row>
      <xdr:rowOff>342900</xdr:rowOff>
    </xdr:to>
    <xdr:pic>
      <xdr:nvPicPr>
        <xdr:cNvPr id="4" name="Logo2" descr="Sello Choucair con registr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lum bright="70000" contrast="-70000"/>
        </a:blip>
        <a:srcRect l="14368" t="10191" r="18391" b="14650"/>
        <a:stretch>
          <a:fillRect/>
        </a:stretch>
      </xdr:blipFill>
      <xdr:spPr bwMode="auto">
        <a:xfrm>
          <a:off x="10561583" y="15276309"/>
          <a:ext cx="675132" cy="678066"/>
        </a:xfrm>
        <a:prstGeom prst="rect">
          <a:avLst/>
        </a:prstGeom>
        <a:noFill/>
        <a:ln w="9525">
          <a:noFill/>
          <a:miter lim="800000"/>
          <a:headEnd/>
          <a:tailEnd/>
        </a:ln>
      </xdr:spPr>
    </xdr:pic>
    <xdr:clientData/>
  </xdr:twoCellAnchor>
  <xdr:twoCellAnchor editAs="oneCell">
    <xdr:from>
      <xdr:col>2</xdr:col>
      <xdr:colOff>76200</xdr:colOff>
      <xdr:row>2</xdr:row>
      <xdr:rowOff>123825</xdr:rowOff>
    </xdr:from>
    <xdr:to>
      <xdr:col>14</xdr:col>
      <xdr:colOff>114300</xdr:colOff>
      <xdr:row>5</xdr:row>
      <xdr:rowOff>99370</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8150" y="504825"/>
          <a:ext cx="2209800" cy="547045"/>
        </a:xfrm>
        <a:prstGeom prst="rect">
          <a:avLst/>
        </a:prstGeom>
      </xdr:spPr>
    </xdr:pic>
    <xdr:clientData/>
  </xdr:twoCellAnchor>
  <xdr:twoCellAnchor editAs="oneCell">
    <xdr:from>
      <xdr:col>2</xdr:col>
      <xdr:colOff>25400</xdr:colOff>
      <xdr:row>47</xdr:row>
      <xdr:rowOff>177800</xdr:rowOff>
    </xdr:from>
    <xdr:to>
      <xdr:col>12</xdr:col>
      <xdr:colOff>0</xdr:colOff>
      <xdr:row>50</xdr:row>
      <xdr:rowOff>12700</xdr:rowOff>
    </xdr:to>
    <xdr:pic>
      <xdr:nvPicPr>
        <xdr:cNvPr id="2" name="cmdGenerarCopia">
          <a:extLst>
            <a:ext uri="{FF2B5EF4-FFF2-40B4-BE49-F238E27FC236}">
              <a16:creationId xmlns:a16="http://schemas.microsoft.com/office/drawing/2014/main" id="{77CC1022-3D80-F98C-4251-E1D4E967CD94}"/>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1800" y="12992100"/>
          <a:ext cx="2006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rametros"/>
  <dimension ref="A1:E35"/>
  <sheetViews>
    <sheetView showGridLines="0" workbookViewId="0">
      <selection activeCell="A2" sqref="A2"/>
    </sheetView>
  </sheetViews>
  <sheetFormatPr baseColWidth="10" defaultColWidth="11.5" defaultRowHeight="15" x14ac:dyDescent="0.2"/>
  <cols>
    <col min="1" max="1" width="11.83203125" bestFit="1" customWidth="1"/>
    <col min="2" max="2" width="63.1640625" bestFit="1" customWidth="1"/>
    <col min="3" max="3" width="24.33203125" customWidth="1"/>
    <col min="4" max="4" width="15.1640625" customWidth="1"/>
    <col min="5" max="5" width="16.1640625" customWidth="1"/>
    <col min="6" max="6" width="8.5" customWidth="1"/>
    <col min="7" max="7" width="44" customWidth="1"/>
  </cols>
  <sheetData>
    <row r="1" spans="1:5" x14ac:dyDescent="0.2">
      <c r="A1" s="20" t="s">
        <v>0</v>
      </c>
      <c r="B1" s="32" t="s">
        <v>1</v>
      </c>
      <c r="C1" s="16" t="s">
        <v>2</v>
      </c>
      <c r="D1" s="16" t="s">
        <v>3</v>
      </c>
      <c r="E1" s="16" t="s">
        <v>4</v>
      </c>
    </row>
    <row r="2" spans="1:5" x14ac:dyDescent="0.2">
      <c r="A2" s="24">
        <v>0</v>
      </c>
      <c r="B2" s="15" t="s">
        <v>5</v>
      </c>
      <c r="C2" s="14" t="s">
        <v>6</v>
      </c>
      <c r="D2" s="17">
        <f>ROW(PlanPruebas!B12)</f>
        <v>12</v>
      </c>
      <c r="E2" s="17">
        <v>0</v>
      </c>
    </row>
    <row r="3" spans="1:5" ht="15" customHeight="1" x14ac:dyDescent="0.2">
      <c r="A3" s="24">
        <v>0</v>
      </c>
      <c r="B3" s="15" t="s">
        <v>7</v>
      </c>
      <c r="C3" s="14" t="s">
        <v>8</v>
      </c>
      <c r="D3" s="17">
        <f>ROW(PlanPruebas!B20)</f>
        <v>20</v>
      </c>
      <c r="E3" s="17">
        <v>0</v>
      </c>
    </row>
    <row r="4" spans="1:5" ht="15" customHeight="1" x14ac:dyDescent="0.2">
      <c r="A4" s="24">
        <f>ROW(PlanPruebas!C96)</f>
        <v>96</v>
      </c>
      <c r="B4" s="15" t="s">
        <v>9</v>
      </c>
      <c r="C4" s="14" t="s">
        <v>10</v>
      </c>
      <c r="D4" s="17">
        <f>ROW(PlanPruebas!B49)</f>
        <v>49</v>
      </c>
      <c r="E4" s="17">
        <v>0</v>
      </c>
    </row>
    <row r="5" spans="1:5" x14ac:dyDescent="0.2">
      <c r="A5" s="24">
        <f>COLUMN(PlanPruebas!C96)</f>
        <v>3</v>
      </c>
      <c r="B5" s="15" t="s">
        <v>11</v>
      </c>
      <c r="C5" s="14" t="s">
        <v>12</v>
      </c>
      <c r="D5" s="17">
        <f>ROW(PlanPruebas!B28)</f>
        <v>28</v>
      </c>
      <c r="E5" s="17">
        <v>0</v>
      </c>
    </row>
    <row r="6" spans="1:5" x14ac:dyDescent="0.2">
      <c r="A6" s="45" t="str">
        <f>ADDRESS(A4,A5,4)</f>
        <v>C96</v>
      </c>
      <c r="B6" s="15" t="s">
        <v>13</v>
      </c>
      <c r="C6" s="14" t="s">
        <v>14</v>
      </c>
      <c r="D6" s="17">
        <f>ROW(PlanPruebas!B42)</f>
        <v>42</v>
      </c>
      <c r="E6" s="17">
        <v>5</v>
      </c>
    </row>
    <row r="7" spans="1:5" x14ac:dyDescent="0.2">
      <c r="A7" s="24">
        <v>0</v>
      </c>
      <c r="B7" s="15" t="s">
        <v>15</v>
      </c>
      <c r="C7" s="14" t="s">
        <v>16</v>
      </c>
      <c r="D7" s="17">
        <f>ROW(PlanPruebas!B61)</f>
        <v>61</v>
      </c>
      <c r="E7" s="17">
        <v>4</v>
      </c>
    </row>
    <row r="8" spans="1:5" x14ac:dyDescent="0.2">
      <c r="A8" s="24">
        <v>0</v>
      </c>
      <c r="B8" s="15" t="s">
        <v>17</v>
      </c>
      <c r="C8" s="14" t="s">
        <v>18</v>
      </c>
      <c r="D8" s="17">
        <f>ROW(PlanPruebas!B69)</f>
        <v>69</v>
      </c>
      <c r="E8" s="17">
        <v>0</v>
      </c>
    </row>
    <row r="9" spans="1:5" x14ac:dyDescent="0.2">
      <c r="A9" s="24">
        <v>0</v>
      </c>
      <c r="B9" s="15" t="s">
        <v>19</v>
      </c>
      <c r="C9" s="14" t="s">
        <v>20</v>
      </c>
      <c r="D9" s="17">
        <f>ROW(PlanPruebas!B77)</f>
        <v>77</v>
      </c>
      <c r="E9" s="17">
        <v>0</v>
      </c>
    </row>
    <row r="10" spans="1:5" x14ac:dyDescent="0.2">
      <c r="A10" s="24"/>
      <c r="B10" s="15"/>
      <c r="C10" s="14" t="s">
        <v>21</v>
      </c>
      <c r="D10" s="17">
        <f>ROW(PlanPruebas!B92)</f>
        <v>92</v>
      </c>
      <c r="E10" s="17">
        <v>0</v>
      </c>
    </row>
    <row r="11" spans="1:5" x14ac:dyDescent="0.2">
      <c r="A11" s="24"/>
      <c r="B11" s="15"/>
      <c r="C11" s="14" t="s">
        <v>22</v>
      </c>
      <c r="D11" s="17">
        <f>ROW(CartaTerminacion!B12)</f>
        <v>12</v>
      </c>
      <c r="E11" s="17">
        <v>0</v>
      </c>
    </row>
    <row r="12" spans="1:5" x14ac:dyDescent="0.2">
      <c r="A12" s="24"/>
      <c r="B12" s="15"/>
      <c r="C12" s="14" t="s">
        <v>23</v>
      </c>
      <c r="D12" s="17">
        <f>ROW(CartaTerminacion!B28)</f>
        <v>28</v>
      </c>
      <c r="E12" s="17">
        <v>0</v>
      </c>
    </row>
    <row r="13" spans="1:5" x14ac:dyDescent="0.2">
      <c r="A13" s="24"/>
      <c r="B13" s="15"/>
      <c r="C13" s="14" t="s">
        <v>24</v>
      </c>
      <c r="D13" s="17">
        <f>ROW(CartaTerminacion!B34)</f>
        <v>34</v>
      </c>
      <c r="E13" s="17">
        <v>0</v>
      </c>
    </row>
    <row r="14" spans="1:5" x14ac:dyDescent="0.2">
      <c r="A14" s="24"/>
      <c r="B14" s="15"/>
      <c r="C14" s="14" t="s">
        <v>25</v>
      </c>
      <c r="D14" s="17">
        <f>ROW(CartaTerminacion!B55)</f>
        <v>55</v>
      </c>
      <c r="E14" s="17">
        <v>0</v>
      </c>
    </row>
    <row r="15" spans="1:5" x14ac:dyDescent="0.2">
      <c r="A15" s="24"/>
      <c r="B15" s="15"/>
      <c r="C15" s="14" t="s">
        <v>26</v>
      </c>
      <c r="D15" s="17">
        <f>ROW(CartaTerminacion!B63)</f>
        <v>63</v>
      </c>
      <c r="E15" s="17">
        <v>0</v>
      </c>
    </row>
    <row r="16" spans="1:5" x14ac:dyDescent="0.2">
      <c r="A16" s="24"/>
      <c r="B16" s="15"/>
      <c r="C16" s="14" t="s">
        <v>27</v>
      </c>
      <c r="D16" s="17">
        <f>ROW(CartaCondicionada!B12)</f>
        <v>12</v>
      </c>
      <c r="E16" s="17">
        <v>0</v>
      </c>
    </row>
    <row r="17" spans="1:5" x14ac:dyDescent="0.2">
      <c r="A17" s="24"/>
      <c r="B17" s="15"/>
      <c r="C17" s="14" t="s">
        <v>28</v>
      </c>
      <c r="D17" s="17">
        <f>ROW(CartaCondicionada!B28)</f>
        <v>28</v>
      </c>
      <c r="E17" s="17">
        <v>0</v>
      </c>
    </row>
    <row r="18" spans="1:5" x14ac:dyDescent="0.2">
      <c r="A18" s="24"/>
      <c r="B18" s="15"/>
      <c r="C18" s="14" t="s">
        <v>29</v>
      </c>
      <c r="D18" s="17">
        <f>ROW(CartaCondicionada!B34)</f>
        <v>34</v>
      </c>
      <c r="E18" s="17">
        <v>0</v>
      </c>
    </row>
    <row r="19" spans="1:5" x14ac:dyDescent="0.2">
      <c r="A19" s="24"/>
      <c r="B19" s="15"/>
      <c r="C19" s="14" t="s">
        <v>30</v>
      </c>
      <c r="D19" s="17">
        <f>ROW(CartaCondicionada!B50)</f>
        <v>50</v>
      </c>
      <c r="E19" s="17">
        <v>0</v>
      </c>
    </row>
    <row r="20" spans="1:5" x14ac:dyDescent="0.2">
      <c r="A20" s="20"/>
      <c r="B20" s="32"/>
      <c r="C20" s="14" t="s">
        <v>31</v>
      </c>
      <c r="D20" s="17">
        <f>ROW(CartaCondicionada!B58)</f>
        <v>58</v>
      </c>
      <c r="E20" s="17">
        <v>0</v>
      </c>
    </row>
    <row r="21" spans="1:5" x14ac:dyDescent="0.2">
      <c r="A21" s="20"/>
      <c r="B21" s="32"/>
      <c r="C21" s="14" t="s">
        <v>32</v>
      </c>
      <c r="D21" s="17">
        <f>ROW(CartaCondicionada!B66)</f>
        <v>66</v>
      </c>
      <c r="E21" s="17">
        <v>0</v>
      </c>
    </row>
    <row r="22" spans="1:5" x14ac:dyDescent="0.2">
      <c r="A22" s="20"/>
      <c r="B22" s="32"/>
      <c r="C22" s="14" t="s">
        <v>33</v>
      </c>
      <c r="D22" s="17">
        <f>ROW(CartaDevolucion!B12)</f>
        <v>12</v>
      </c>
      <c r="E22" s="17">
        <v>0</v>
      </c>
    </row>
    <row r="23" spans="1:5" x14ac:dyDescent="0.2">
      <c r="A23" s="20"/>
      <c r="B23" s="32"/>
      <c r="C23" s="14" t="s">
        <v>34</v>
      </c>
      <c r="D23" s="17">
        <f>ROW(CartaDevolucion!B31)</f>
        <v>31</v>
      </c>
      <c r="E23" s="17">
        <v>0</v>
      </c>
    </row>
    <row r="24" spans="1:5" x14ac:dyDescent="0.2">
      <c r="A24" s="20"/>
      <c r="B24" s="32"/>
      <c r="C24" s="14" t="s">
        <v>35</v>
      </c>
      <c r="D24" s="17">
        <f>ROW(CartaDevolucion!B38)</f>
        <v>38</v>
      </c>
      <c r="E24" s="17">
        <v>0</v>
      </c>
    </row>
    <row r="25" spans="1:5" x14ac:dyDescent="0.2">
      <c r="A25" s="20"/>
      <c r="B25" s="32"/>
      <c r="C25" s="14" t="s">
        <v>36</v>
      </c>
      <c r="D25" s="17">
        <f>ROW(CartaDevolucion!B48)</f>
        <v>48</v>
      </c>
      <c r="E25" s="17">
        <v>0</v>
      </c>
    </row>
    <row r="26" spans="1:5" x14ac:dyDescent="0.2">
      <c r="A26" s="20"/>
      <c r="B26" s="32"/>
      <c r="C26" s="14" t="s">
        <v>37</v>
      </c>
      <c r="D26" s="17">
        <f>ROW(CartaDevolucion!B56)</f>
        <v>56</v>
      </c>
      <c r="E26" s="17">
        <v>0</v>
      </c>
    </row>
    <row r="27" spans="1:5" x14ac:dyDescent="0.2">
      <c r="A27" s="20"/>
      <c r="B27" s="32"/>
      <c r="C27" s="14" t="s">
        <v>38</v>
      </c>
      <c r="D27" s="17">
        <f>ROW(CartaSuspension!B12)</f>
        <v>12</v>
      </c>
      <c r="E27" s="17">
        <v>0</v>
      </c>
    </row>
    <row r="28" spans="1:5" x14ac:dyDescent="0.2">
      <c r="A28" s="20"/>
      <c r="B28" s="32"/>
      <c r="C28" s="14" t="s">
        <v>39</v>
      </c>
      <c r="D28" s="17">
        <f>ROW(CartaSuspension!B29)</f>
        <v>29</v>
      </c>
      <c r="E28" s="17">
        <v>0</v>
      </c>
    </row>
    <row r="29" spans="1:5" x14ac:dyDescent="0.2">
      <c r="A29" s="20"/>
      <c r="B29" s="32"/>
      <c r="C29" s="14" t="s">
        <v>40</v>
      </c>
      <c r="D29" s="17">
        <f>ROW(CartaSuspension!B41)</f>
        <v>41</v>
      </c>
      <c r="E29" s="17">
        <v>0</v>
      </c>
    </row>
    <row r="30" spans="1:5" x14ac:dyDescent="0.2">
      <c r="A30" s="20"/>
      <c r="B30" s="32"/>
      <c r="C30" s="14" t="s">
        <v>41</v>
      </c>
      <c r="D30" s="17">
        <f>ROW(CartaSuspension!B49)</f>
        <v>49</v>
      </c>
      <c r="E30" s="17">
        <v>0</v>
      </c>
    </row>
    <row r="31" spans="1:5" x14ac:dyDescent="0.2">
      <c r="A31" s="20"/>
      <c r="B31" s="32"/>
      <c r="C31" s="14" t="s">
        <v>42</v>
      </c>
      <c r="D31" s="17">
        <f>ROW(CartaCancelacion!B12)</f>
        <v>12</v>
      </c>
      <c r="E31" s="17">
        <v>0</v>
      </c>
    </row>
    <row r="32" spans="1:5" x14ac:dyDescent="0.2">
      <c r="A32" s="20"/>
      <c r="B32" s="32"/>
      <c r="C32" s="14" t="s">
        <v>43</v>
      </c>
      <c r="D32" s="17">
        <f>ROW(CartaCancelacion!B35)</f>
        <v>35</v>
      </c>
      <c r="E32" s="17">
        <v>0</v>
      </c>
    </row>
    <row r="33" spans="1:5" x14ac:dyDescent="0.2">
      <c r="A33" s="20"/>
      <c r="B33" s="32"/>
      <c r="C33" s="14" t="s">
        <v>44</v>
      </c>
      <c r="D33" s="17">
        <f>ROW(CartaCancelacion!B43)</f>
        <v>43</v>
      </c>
      <c r="E33" s="17">
        <v>0</v>
      </c>
    </row>
    <row r="34" spans="1:5" x14ac:dyDescent="0.2">
      <c r="A34" s="20"/>
      <c r="B34" s="32"/>
      <c r="C34" s="14" t="s">
        <v>45</v>
      </c>
      <c r="D34" s="17">
        <f>ROW(PlanPruebas!B84)</f>
        <v>84</v>
      </c>
      <c r="E34" s="17">
        <v>0</v>
      </c>
    </row>
    <row r="35" spans="1:5" x14ac:dyDescent="0.2">
      <c r="A35" s="20"/>
      <c r="B35" s="32"/>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Pruebas"/>
  <dimension ref="A1:XFC106"/>
  <sheetViews>
    <sheetView showGridLines="0" tabSelected="1" topLeftCell="A52" zoomScale="130" zoomScaleNormal="130" workbookViewId="0">
      <selection activeCell="C54" sqref="C54:BJ54"/>
    </sheetView>
  </sheetViews>
  <sheetFormatPr baseColWidth="10" defaultColWidth="0" defaultRowHeight="15" x14ac:dyDescent="0.2"/>
  <cols>
    <col min="1" max="63" width="2.6640625" customWidth="1"/>
    <col min="64" max="64" width="2.5" customWidth="1"/>
    <col min="65" max="16383" width="12.1640625" hidden="1"/>
    <col min="16384" max="16384" width="8.1640625" hidden="1"/>
  </cols>
  <sheetData>
    <row r="1" spans="1:66" x14ac:dyDescent="0.2">
      <c r="BM1" s="31"/>
      <c r="BN1" s="44">
        <f>ROW(PlanPruebas!BZ107)</f>
        <v>107</v>
      </c>
    </row>
    <row r="2" spans="1:66"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29"/>
      <c r="BN2" s="44">
        <f>ROW(PlanPruebas!BM103)</f>
        <v>103</v>
      </c>
    </row>
    <row r="3" spans="1:66" ht="15" customHeight="1" x14ac:dyDescent="0.2">
      <c r="C3" s="152"/>
      <c r="D3" s="152"/>
      <c r="E3" s="152"/>
      <c r="F3" s="152"/>
      <c r="G3" s="152"/>
      <c r="H3" s="152"/>
      <c r="I3" s="152"/>
      <c r="J3" s="152"/>
      <c r="K3" s="152"/>
      <c r="L3" s="152"/>
      <c r="M3" s="152"/>
      <c r="N3" s="152"/>
      <c r="O3" s="152"/>
      <c r="P3" s="143" t="s">
        <v>46</v>
      </c>
      <c r="Q3" s="144"/>
      <c r="R3" s="144"/>
      <c r="S3" s="144"/>
      <c r="T3" s="144"/>
      <c r="U3" s="144"/>
      <c r="V3" s="144"/>
      <c r="W3" s="144"/>
      <c r="X3" s="144"/>
      <c r="Y3" s="144"/>
      <c r="Z3" s="144"/>
      <c r="AA3" s="144"/>
      <c r="AB3" s="144"/>
      <c r="AC3" s="144"/>
      <c r="AD3" s="144"/>
      <c r="AE3" s="144"/>
      <c r="AF3" s="144"/>
      <c r="AG3" s="144"/>
      <c r="AH3" s="144"/>
      <c r="AI3" s="144"/>
      <c r="AJ3" s="144"/>
      <c r="AK3" s="144"/>
      <c r="AL3" s="144"/>
      <c r="AM3" s="144"/>
      <c r="AN3" s="144"/>
      <c r="AO3" s="144"/>
      <c r="AP3" s="144"/>
      <c r="AQ3" s="144"/>
      <c r="AR3" s="144"/>
      <c r="AS3" s="144"/>
      <c r="AT3" s="144"/>
      <c r="AU3" s="144"/>
      <c r="AV3" s="144"/>
      <c r="AW3" s="144"/>
      <c r="AX3" s="144"/>
      <c r="AY3" s="144"/>
      <c r="AZ3" s="144"/>
      <c r="BA3" s="144"/>
      <c r="BB3" s="144"/>
      <c r="BC3" s="144"/>
      <c r="BD3" s="144"/>
      <c r="BE3" s="144"/>
      <c r="BF3" s="144"/>
      <c r="BG3" s="144"/>
      <c r="BH3" s="144"/>
      <c r="BI3" s="144"/>
      <c r="BJ3" s="145"/>
      <c r="BM3" s="29"/>
    </row>
    <row r="4" spans="1:66" ht="15" customHeight="1" x14ac:dyDescent="0.2">
      <c r="C4" s="152"/>
      <c r="D4" s="152"/>
      <c r="E4" s="152"/>
      <c r="F4" s="152"/>
      <c r="G4" s="152"/>
      <c r="H4" s="152"/>
      <c r="I4" s="152"/>
      <c r="J4" s="152"/>
      <c r="K4" s="152"/>
      <c r="L4" s="152"/>
      <c r="M4" s="152"/>
      <c r="N4" s="152"/>
      <c r="O4" s="152"/>
      <c r="P4" s="146"/>
      <c r="Q4" s="147"/>
      <c r="R4" s="147"/>
      <c r="S4" s="147"/>
      <c r="T4" s="147"/>
      <c r="U4" s="147"/>
      <c r="V4" s="147"/>
      <c r="W4" s="147"/>
      <c r="X4" s="147"/>
      <c r="Y4" s="147"/>
      <c r="Z4" s="147"/>
      <c r="AA4" s="147"/>
      <c r="AB4" s="147"/>
      <c r="AC4" s="147"/>
      <c r="AD4" s="147"/>
      <c r="AE4" s="147"/>
      <c r="AF4" s="147"/>
      <c r="AG4" s="147"/>
      <c r="AH4" s="147"/>
      <c r="AI4" s="147"/>
      <c r="AJ4" s="147"/>
      <c r="AK4" s="147"/>
      <c r="AL4" s="147"/>
      <c r="AM4" s="147"/>
      <c r="AN4" s="147"/>
      <c r="AO4" s="147"/>
      <c r="AP4" s="147"/>
      <c r="AQ4" s="147"/>
      <c r="AR4" s="147"/>
      <c r="AS4" s="147"/>
      <c r="AT4" s="147"/>
      <c r="AU4" s="147"/>
      <c r="AV4" s="147"/>
      <c r="AW4" s="147"/>
      <c r="AX4" s="147"/>
      <c r="AY4" s="147"/>
      <c r="AZ4" s="147"/>
      <c r="BA4" s="147"/>
      <c r="BB4" s="147"/>
      <c r="BC4" s="147"/>
      <c r="BD4" s="147"/>
      <c r="BE4" s="147"/>
      <c r="BF4" s="147"/>
      <c r="BG4" s="147"/>
      <c r="BH4" s="147"/>
      <c r="BI4" s="147"/>
      <c r="BJ4" s="148"/>
      <c r="BM4" s="29"/>
    </row>
    <row r="5" spans="1:66" ht="15" customHeight="1" x14ac:dyDescent="0.2">
      <c r="C5" s="152"/>
      <c r="D5" s="152"/>
      <c r="E5" s="152"/>
      <c r="F5" s="152"/>
      <c r="G5" s="152"/>
      <c r="H5" s="152"/>
      <c r="I5" s="152"/>
      <c r="J5" s="152"/>
      <c r="K5" s="152"/>
      <c r="L5" s="152"/>
      <c r="M5" s="152"/>
      <c r="N5" s="152"/>
      <c r="O5" s="152"/>
      <c r="P5" s="146"/>
      <c r="Q5" s="147"/>
      <c r="R5" s="147"/>
      <c r="S5" s="147"/>
      <c r="T5" s="147"/>
      <c r="U5" s="147"/>
      <c r="V5" s="147"/>
      <c r="W5" s="147"/>
      <c r="X5" s="147"/>
      <c r="Y5" s="147"/>
      <c r="Z5" s="147"/>
      <c r="AA5" s="147"/>
      <c r="AB5" s="147"/>
      <c r="AC5" s="147"/>
      <c r="AD5" s="147"/>
      <c r="AE5" s="147"/>
      <c r="AF5" s="147"/>
      <c r="AG5" s="147"/>
      <c r="AH5" s="147"/>
      <c r="AI5" s="147"/>
      <c r="AJ5" s="147"/>
      <c r="AK5" s="147"/>
      <c r="AL5" s="147"/>
      <c r="AM5" s="147"/>
      <c r="AN5" s="147"/>
      <c r="AO5" s="147"/>
      <c r="AP5" s="147"/>
      <c r="AQ5" s="147"/>
      <c r="AR5" s="147"/>
      <c r="AS5" s="147"/>
      <c r="AT5" s="147"/>
      <c r="AU5" s="147"/>
      <c r="AV5" s="147"/>
      <c r="AW5" s="147"/>
      <c r="AX5" s="147"/>
      <c r="AY5" s="147"/>
      <c r="AZ5" s="147"/>
      <c r="BA5" s="147"/>
      <c r="BB5" s="147"/>
      <c r="BC5" s="147"/>
      <c r="BD5" s="147"/>
      <c r="BE5" s="147"/>
      <c r="BF5" s="147"/>
      <c r="BG5" s="147"/>
      <c r="BH5" s="147"/>
      <c r="BI5" s="147"/>
      <c r="BJ5" s="148"/>
      <c r="BM5" s="29"/>
    </row>
    <row r="6" spans="1:66" ht="15" customHeight="1" x14ac:dyDescent="0.2">
      <c r="C6" s="152"/>
      <c r="D6" s="152"/>
      <c r="E6" s="152"/>
      <c r="F6" s="152"/>
      <c r="G6" s="152"/>
      <c r="H6" s="152"/>
      <c r="I6" s="152"/>
      <c r="J6" s="152"/>
      <c r="K6" s="152"/>
      <c r="L6" s="152"/>
      <c r="M6" s="152"/>
      <c r="N6" s="152"/>
      <c r="O6" s="152"/>
      <c r="P6" s="149"/>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1"/>
      <c r="BM6" s="29"/>
    </row>
    <row r="7" spans="1:66" ht="25" customHeight="1" x14ac:dyDescent="0.2">
      <c r="BM7" s="29"/>
    </row>
    <row r="8" spans="1:66" ht="25" customHeight="1" x14ac:dyDescent="0.2">
      <c r="C8" s="163" t="s">
        <v>1</v>
      </c>
      <c r="D8" s="164"/>
      <c r="E8" s="164"/>
      <c r="F8" s="164"/>
      <c r="G8" s="165"/>
      <c r="H8" s="138" t="s">
        <v>47</v>
      </c>
      <c r="I8" s="138"/>
      <c r="J8" s="138"/>
      <c r="K8" s="138"/>
      <c r="L8" s="138"/>
      <c r="M8" s="138" t="s">
        <v>48</v>
      </c>
      <c r="N8" s="138"/>
      <c r="O8" s="138"/>
      <c r="P8" s="138"/>
      <c r="Q8" s="138"/>
      <c r="R8" s="138" t="s">
        <v>49</v>
      </c>
      <c r="S8" s="138"/>
      <c r="T8" s="138"/>
      <c r="U8" s="138"/>
      <c r="V8" s="138"/>
      <c r="W8" s="138"/>
      <c r="X8" s="138"/>
      <c r="Y8" s="138"/>
      <c r="Z8" s="138"/>
      <c r="AA8" s="138"/>
      <c r="AB8" s="138"/>
      <c r="AC8" s="138"/>
      <c r="AD8" s="138"/>
      <c r="AE8" s="138"/>
      <c r="AF8" s="138"/>
      <c r="AG8" s="138" t="s">
        <v>50</v>
      </c>
      <c r="AH8" s="138"/>
      <c r="AI8" s="138"/>
      <c r="AJ8" s="138"/>
      <c r="AK8" s="138"/>
      <c r="AL8" s="138"/>
      <c r="AM8" s="138"/>
      <c r="AN8" s="138"/>
      <c r="AO8" s="138"/>
      <c r="AP8" s="138"/>
      <c r="AQ8" s="138"/>
      <c r="AR8" s="138"/>
      <c r="AS8" s="138"/>
      <c r="AT8" s="138"/>
      <c r="AU8" s="138"/>
      <c r="AV8" s="138" t="s">
        <v>51</v>
      </c>
      <c r="AW8" s="138"/>
      <c r="AX8" s="138"/>
      <c r="AY8" s="138"/>
      <c r="AZ8" s="138"/>
      <c r="BA8" s="138"/>
      <c r="BB8" s="138"/>
      <c r="BC8" s="138"/>
      <c r="BD8" s="138"/>
      <c r="BE8" s="138"/>
      <c r="BF8" s="138"/>
      <c r="BG8" s="138"/>
      <c r="BH8" s="138"/>
      <c r="BI8" s="138"/>
      <c r="BJ8" s="138"/>
      <c r="BM8" s="29"/>
    </row>
    <row r="9" spans="1:66" ht="25" customHeight="1" x14ac:dyDescent="0.2">
      <c r="B9" s="18">
        <f>COUNTA(C9:BJ9)</f>
        <v>4</v>
      </c>
      <c r="C9" s="107">
        <v>1</v>
      </c>
      <c r="D9" s="107"/>
      <c r="E9" s="107"/>
      <c r="F9" s="107"/>
      <c r="G9" s="107"/>
      <c r="H9" s="107" t="s">
        <v>175</v>
      </c>
      <c r="I9" s="107"/>
      <c r="J9" s="107"/>
      <c r="K9" s="107"/>
      <c r="L9" s="107"/>
      <c r="M9" s="139">
        <v>44767</v>
      </c>
      <c r="N9" s="107"/>
      <c r="O9" s="107"/>
      <c r="P9" s="107"/>
      <c r="Q9" s="107"/>
      <c r="R9" s="107" t="s">
        <v>285</v>
      </c>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M9" s="29"/>
    </row>
    <row r="10" spans="1:66" ht="25" customHeight="1" x14ac:dyDescent="0.2">
      <c r="B10" s="18">
        <f>COUNTA(C10:BJ10)</f>
        <v>0</v>
      </c>
      <c r="C10" s="107"/>
      <c r="D10" s="107"/>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M10" s="29"/>
    </row>
    <row r="11" spans="1:66" ht="25" customHeight="1" x14ac:dyDescent="0.2">
      <c r="B11" s="18">
        <f>COUNTA(C11:BJ11)</f>
        <v>0</v>
      </c>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9"/>
      <c r="BM11" s="29"/>
    </row>
    <row r="12" spans="1:66" ht="25" customHeight="1" x14ac:dyDescent="0.2">
      <c r="C12" s="131" t="s">
        <v>52</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74" t="s">
        <v>53</v>
      </c>
      <c r="BH12" s="75"/>
      <c r="BI12" s="74" t="s">
        <v>54</v>
      </c>
      <c r="BJ12" s="75"/>
      <c r="BM12" s="29">
        <v>1</v>
      </c>
    </row>
    <row r="13" spans="1:66" ht="25" customHeight="1" x14ac:dyDescent="0.2">
      <c r="C13" s="9"/>
      <c r="D13" s="9"/>
      <c r="E13" s="9"/>
      <c r="K13" s="9"/>
      <c r="L13" s="9"/>
      <c r="M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M13" s="29"/>
    </row>
    <row r="14" spans="1:66" ht="16" thickBot="1" x14ac:dyDescent="0.25">
      <c r="C14" s="22" t="s">
        <v>55</v>
      </c>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M14" s="29"/>
    </row>
    <row r="15" spans="1:66" ht="15" customHeight="1" x14ac:dyDescent="0.2">
      <c r="BM15" s="29"/>
    </row>
    <row r="16" spans="1:66" ht="25" customHeight="1" x14ac:dyDescent="0.2">
      <c r="C16" s="76" t="s">
        <v>56</v>
      </c>
      <c r="D16" s="77"/>
      <c r="E16" s="77"/>
      <c r="F16" s="77"/>
      <c r="G16" s="77"/>
      <c r="H16" s="77"/>
      <c r="I16" s="77"/>
      <c r="J16" s="77"/>
      <c r="K16" s="77"/>
      <c r="L16" s="77"/>
      <c r="M16" s="77"/>
      <c r="N16" s="78"/>
      <c r="O16" s="79"/>
      <c r="P16" s="80"/>
      <c r="Q16" s="80"/>
      <c r="R16" s="80"/>
      <c r="S16" s="80"/>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1"/>
      <c r="BM16" s="29"/>
    </row>
    <row r="17" spans="2:67" ht="25" customHeight="1" x14ac:dyDescent="0.2">
      <c r="C17" s="153" t="s">
        <v>57</v>
      </c>
      <c r="D17" s="154"/>
      <c r="E17" s="154"/>
      <c r="F17" s="154"/>
      <c r="G17" s="154"/>
      <c r="H17" s="154"/>
      <c r="I17" s="154"/>
      <c r="J17" s="154"/>
      <c r="K17" s="154"/>
      <c r="L17" s="154"/>
      <c r="M17" s="154"/>
      <c r="N17" s="155"/>
      <c r="O17" s="79" t="s">
        <v>293</v>
      </c>
      <c r="P17" s="80"/>
      <c r="Q17" s="80"/>
      <c r="R17" s="80"/>
      <c r="S17" s="80"/>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1"/>
      <c r="BM17" s="29"/>
      <c r="BN17" s="30"/>
      <c r="BO17" s="30"/>
    </row>
    <row r="18" spans="2:67" ht="25" customHeight="1" x14ac:dyDescent="0.2">
      <c r="C18" s="76" t="s">
        <v>58</v>
      </c>
      <c r="D18" s="77"/>
      <c r="E18" s="77"/>
      <c r="F18" s="77"/>
      <c r="G18" s="77"/>
      <c r="H18" s="77"/>
      <c r="I18" s="77"/>
      <c r="J18" s="77"/>
      <c r="K18" s="77"/>
      <c r="L18" s="77"/>
      <c r="M18" s="77"/>
      <c r="N18" s="78"/>
      <c r="O18" s="79"/>
      <c r="P18" s="80"/>
      <c r="Q18" s="80"/>
      <c r="R18" s="80"/>
      <c r="S18" s="80"/>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1"/>
      <c r="BM18" s="29"/>
    </row>
    <row r="19" spans="2:67" ht="25" customHeight="1" x14ac:dyDescent="0.2">
      <c r="B19" s="19"/>
      <c r="C19" s="156" t="s">
        <v>59</v>
      </c>
      <c r="D19" s="157"/>
      <c r="E19" s="157"/>
      <c r="F19" s="157"/>
      <c r="G19" s="157"/>
      <c r="H19" s="157"/>
      <c r="I19" s="157"/>
      <c r="J19" s="157"/>
      <c r="K19" s="157"/>
      <c r="L19" s="157"/>
      <c r="M19" s="157"/>
      <c r="N19" s="158"/>
      <c r="O19" s="85" t="s">
        <v>284</v>
      </c>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7"/>
      <c r="BK19" s="19"/>
      <c r="BM19" s="29"/>
    </row>
    <row r="20" spans="2:67" ht="25" customHeight="1" x14ac:dyDescent="0.2">
      <c r="C20" s="131" t="s">
        <v>52</v>
      </c>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74" t="s">
        <v>53</v>
      </c>
      <c r="BH20" s="75"/>
      <c r="BI20" s="74" t="s">
        <v>54</v>
      </c>
      <c r="BJ20" s="75"/>
      <c r="BM20" s="29">
        <v>1</v>
      </c>
    </row>
    <row r="21" spans="2:67" ht="25" customHeight="1" x14ac:dyDescent="0.2">
      <c r="C21" s="3"/>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BM21" s="29"/>
    </row>
    <row r="22" spans="2:67" ht="16" thickBot="1" x14ac:dyDescent="0.25">
      <c r="C22" s="22" t="s">
        <v>60</v>
      </c>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M22" s="29" t="str">
        <f>IF($BI$23="No",1,"")</f>
        <v/>
      </c>
    </row>
    <row r="23" spans="2:67" x14ac:dyDescent="0.2">
      <c r="C23" s="26"/>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8" t="s">
        <v>61</v>
      </c>
      <c r="BI23" s="114" t="s">
        <v>62</v>
      </c>
      <c r="BJ23" s="114"/>
      <c r="BM23" s="29">
        <v>1</v>
      </c>
    </row>
    <row r="24" spans="2:67" x14ac:dyDescent="0.2">
      <c r="C24" s="3"/>
      <c r="D24" s="21"/>
      <c r="E24" s="21"/>
      <c r="F24" s="3"/>
      <c r="G24" s="21"/>
      <c r="H24" s="21"/>
      <c r="I24" s="3"/>
      <c r="J24" s="21"/>
      <c r="K24" s="21"/>
      <c r="L24" s="3"/>
      <c r="M24" s="21"/>
      <c r="N24" s="21"/>
      <c r="O24" s="3"/>
      <c r="P24" s="21"/>
      <c r="Q24" s="21"/>
      <c r="R24" s="3"/>
      <c r="S24" s="21"/>
      <c r="T24" s="21"/>
      <c r="U24" s="3"/>
      <c r="V24" s="21"/>
      <c r="W24" s="21"/>
      <c r="X24" s="3"/>
      <c r="Y24" s="21"/>
      <c r="Z24" s="21"/>
      <c r="AA24" s="3"/>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M24" s="29" t="str">
        <f>IF($BI$23="No",1,"")</f>
        <v/>
      </c>
    </row>
    <row r="25" spans="2:67" ht="66" customHeight="1" x14ac:dyDescent="0.2">
      <c r="B25" s="18">
        <f>COUNTA(C25:BJ25)</f>
        <v>1</v>
      </c>
      <c r="C25" s="82" t="s">
        <v>294</v>
      </c>
      <c r="D25" s="83"/>
      <c r="E25" s="83"/>
      <c r="F25" s="83"/>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4"/>
      <c r="BM25" s="29" t="str">
        <f>IF($BI$23="No",1,"")</f>
        <v/>
      </c>
    </row>
    <row r="26" spans="2:67" ht="56" customHeight="1" x14ac:dyDescent="0.2">
      <c r="B26" s="18">
        <f>COUNTA(#REF!)</f>
        <v>1</v>
      </c>
      <c r="C26" s="57" t="s">
        <v>295</v>
      </c>
      <c r="D26" s="64"/>
      <c r="E26" s="64"/>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59"/>
      <c r="BM26" s="29" t="str">
        <f>IF($BI$23="No",1,"")</f>
        <v/>
      </c>
    </row>
    <row r="27" spans="2:67" ht="25" customHeight="1" x14ac:dyDescent="0.2">
      <c r="B27" s="18">
        <f>COUNTA(#REF!)</f>
        <v>1</v>
      </c>
      <c r="C27" s="51"/>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3"/>
      <c r="BK27" s="19"/>
      <c r="BM27" s="29" t="str">
        <f>IF($BI$23="No",1,"")</f>
        <v/>
      </c>
    </row>
    <row r="28" spans="2:67" ht="25" customHeight="1" x14ac:dyDescent="0.2">
      <c r="C28" s="71" t="s">
        <v>52</v>
      </c>
      <c r="D28" s="72"/>
      <c r="E28" s="72"/>
      <c r="F28" s="72"/>
      <c r="G28" s="72"/>
      <c r="H28" s="72"/>
      <c r="I28" s="72"/>
      <c r="J28" s="72"/>
      <c r="K28" s="72"/>
      <c r="L28" s="72"/>
      <c r="M28" s="72"/>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3"/>
      <c r="BG28" s="74" t="s">
        <v>53</v>
      </c>
      <c r="BH28" s="75"/>
      <c r="BI28" s="74" t="s">
        <v>54</v>
      </c>
      <c r="BJ28" s="75"/>
      <c r="BM28" s="29">
        <v>1</v>
      </c>
    </row>
    <row r="29" spans="2:67" ht="25" customHeight="1" x14ac:dyDescent="0.2">
      <c r="C29" s="3"/>
      <c r="D29" s="21"/>
      <c r="E29" s="21"/>
      <c r="F29" s="21"/>
      <c r="G29" s="3"/>
      <c r="H29" s="21"/>
      <c r="I29" s="21"/>
      <c r="J29" s="21"/>
      <c r="K29" s="3"/>
      <c r="L29" s="21"/>
      <c r="M29" s="21"/>
      <c r="N29" s="21"/>
      <c r="O29" s="3"/>
      <c r="P29" s="21"/>
      <c r="Q29" s="21"/>
      <c r="R29" s="21"/>
      <c r="S29" s="3"/>
      <c r="T29" s="21"/>
      <c r="U29" s="21"/>
      <c r="V29" s="21"/>
      <c r="W29" s="3"/>
      <c r="X29" s="21"/>
      <c r="Y29" s="21"/>
      <c r="Z29" s="21"/>
      <c r="AA29" s="3"/>
      <c r="AB29" s="21"/>
      <c r="AC29" s="21"/>
      <c r="AD29" s="21"/>
      <c r="AE29" s="3"/>
      <c r="AF29" s="21"/>
      <c r="AG29" s="21"/>
      <c r="AH29" s="21"/>
      <c r="AI29" s="21"/>
      <c r="AJ29" s="21"/>
      <c r="AK29" s="21"/>
      <c r="AL29" s="21"/>
      <c r="AM29" s="21"/>
      <c r="AN29" s="21"/>
      <c r="BM29" s="29" t="str">
        <f>IF($BI$23="No",1,"")</f>
        <v/>
      </c>
    </row>
    <row r="30" spans="2:67" ht="16" thickBot="1" x14ac:dyDescent="0.25">
      <c r="C30" s="22" t="s">
        <v>63</v>
      </c>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M30" s="29" t="str">
        <f>IF($BI$31="No",1,"")</f>
        <v/>
      </c>
    </row>
    <row r="31" spans="2:67" x14ac:dyDescent="0.2">
      <c r="C31" s="26"/>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8" t="s">
        <v>61</v>
      </c>
      <c r="BI31" s="114" t="s">
        <v>62</v>
      </c>
      <c r="BJ31" s="114"/>
      <c r="BM31" s="29">
        <v>1</v>
      </c>
    </row>
    <row r="32" spans="2:67" ht="25" customHeight="1" x14ac:dyDescent="0.2">
      <c r="C32" s="3"/>
      <c r="D32" s="21"/>
      <c r="E32" s="21"/>
      <c r="F32" s="3"/>
      <c r="G32" s="21"/>
      <c r="H32" s="21"/>
      <c r="I32" s="3"/>
      <c r="J32" s="21"/>
      <c r="K32" s="21"/>
      <c r="L32" s="3"/>
      <c r="M32" s="21"/>
      <c r="N32" s="21"/>
      <c r="O32" s="3"/>
      <c r="P32" s="21"/>
      <c r="Q32" s="21"/>
      <c r="R32" s="3"/>
      <c r="S32" s="21"/>
      <c r="T32" s="21"/>
      <c r="U32" s="3"/>
      <c r="V32" s="21"/>
      <c r="W32" s="21"/>
      <c r="X32" s="3"/>
      <c r="Y32" s="21"/>
      <c r="Z32" s="50" t="s">
        <v>64</v>
      </c>
      <c r="AA32" s="159">
        <f>IFERROR(AVERAGE(AA34:AD42),"")</f>
        <v>3.875</v>
      </c>
      <c r="AB32" s="160"/>
      <c r="AC32" s="160"/>
      <c r="AD32" s="16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M32" s="29" t="str">
        <f t="shared" ref="BM32:BM41" si="0">IF($BI$31="No",1,"")</f>
        <v/>
      </c>
    </row>
    <row r="33" spans="2:65" ht="25" customHeight="1" x14ac:dyDescent="0.2">
      <c r="C33" s="104" t="s">
        <v>65</v>
      </c>
      <c r="D33" s="104"/>
      <c r="E33" s="104"/>
      <c r="F33" s="104"/>
      <c r="G33" s="104"/>
      <c r="H33" s="104"/>
      <c r="I33" s="104"/>
      <c r="J33" s="104"/>
      <c r="K33" s="104"/>
      <c r="L33" s="104"/>
      <c r="M33" s="104"/>
      <c r="N33" s="104"/>
      <c r="O33" s="104"/>
      <c r="P33" s="104"/>
      <c r="Q33" s="104"/>
      <c r="R33" s="104"/>
      <c r="S33" s="162" t="s">
        <v>66</v>
      </c>
      <c r="T33" s="162"/>
      <c r="U33" s="162"/>
      <c r="V33" s="162"/>
      <c r="W33" s="137" t="s">
        <v>67</v>
      </c>
      <c r="X33" s="137"/>
      <c r="Y33" s="137"/>
      <c r="Z33" s="137"/>
      <c r="AA33" s="129" t="s">
        <v>68</v>
      </c>
      <c r="AB33" s="129"/>
      <c r="AC33" s="129"/>
      <c r="AD33" s="129"/>
      <c r="AE33" s="130" t="s">
        <v>69</v>
      </c>
      <c r="AF33" s="130"/>
      <c r="AG33" s="130"/>
      <c r="AH33" s="130"/>
      <c r="AI33" s="130"/>
      <c r="AJ33" s="130"/>
      <c r="AK33" s="130"/>
      <c r="AL33" s="130"/>
      <c r="AM33" s="130"/>
      <c r="AN33" s="130"/>
      <c r="AO33" s="130"/>
      <c r="AP33" s="130"/>
      <c r="AQ33" s="130"/>
      <c r="AR33" s="130"/>
      <c r="AS33" s="130"/>
      <c r="AT33" s="130"/>
      <c r="AU33" s="104" t="s">
        <v>70</v>
      </c>
      <c r="AV33" s="104"/>
      <c r="AW33" s="104"/>
      <c r="AX33" s="104"/>
      <c r="AY33" s="104"/>
      <c r="AZ33" s="104"/>
      <c r="BA33" s="104"/>
      <c r="BB33" s="104"/>
      <c r="BC33" s="104"/>
      <c r="BD33" s="104"/>
      <c r="BE33" s="104"/>
      <c r="BF33" s="104"/>
      <c r="BG33" s="104"/>
      <c r="BH33" s="104"/>
      <c r="BI33" s="104"/>
      <c r="BJ33" s="104"/>
      <c r="BM33" s="29" t="str">
        <f t="shared" si="0"/>
        <v/>
      </c>
    </row>
    <row r="34" spans="2:65" ht="51" customHeight="1" x14ac:dyDescent="0.2">
      <c r="B34" s="18">
        <f>COUNTA(C34:BJ34)</f>
        <v>6</v>
      </c>
      <c r="C34" s="106" t="s">
        <v>71</v>
      </c>
      <c r="D34" s="107"/>
      <c r="E34" s="107"/>
      <c r="F34" s="107"/>
      <c r="G34" s="107"/>
      <c r="H34" s="107"/>
      <c r="I34" s="107"/>
      <c r="J34" s="107"/>
      <c r="K34" s="107"/>
      <c r="L34" s="107"/>
      <c r="M34" s="107"/>
      <c r="N34" s="107"/>
      <c r="O34" s="107"/>
      <c r="P34" s="107"/>
      <c r="Q34" s="107"/>
      <c r="R34" s="107"/>
      <c r="S34" s="111">
        <v>3</v>
      </c>
      <c r="T34" s="111"/>
      <c r="U34" s="111"/>
      <c r="V34" s="111"/>
      <c r="W34" s="111">
        <v>2</v>
      </c>
      <c r="X34" s="111"/>
      <c r="Y34" s="111"/>
      <c r="Z34" s="111"/>
      <c r="AA34" s="112">
        <f t="shared" ref="AA34:AA41" si="1">IF(OR(TRIM(S34)="",TRIM(W34)=""),"",S34*W34)</f>
        <v>6</v>
      </c>
      <c r="AB34" s="112"/>
      <c r="AC34" s="112"/>
      <c r="AD34" s="112"/>
      <c r="AE34" s="106" t="s">
        <v>269</v>
      </c>
      <c r="AF34" s="107"/>
      <c r="AG34" s="107"/>
      <c r="AH34" s="107"/>
      <c r="AI34" s="107"/>
      <c r="AJ34" s="107"/>
      <c r="AK34" s="107"/>
      <c r="AL34" s="107"/>
      <c r="AM34" s="107"/>
      <c r="AN34" s="107"/>
      <c r="AO34" s="107"/>
      <c r="AP34" s="107"/>
      <c r="AQ34" s="107"/>
      <c r="AR34" s="107"/>
      <c r="AS34" s="107"/>
      <c r="AT34" s="107"/>
      <c r="AU34" s="106" t="s">
        <v>270</v>
      </c>
      <c r="AV34" s="107"/>
      <c r="AW34" s="107"/>
      <c r="AX34" s="107"/>
      <c r="AY34" s="107"/>
      <c r="AZ34" s="107"/>
      <c r="BA34" s="107"/>
      <c r="BB34" s="107"/>
      <c r="BC34" s="107"/>
      <c r="BD34" s="107"/>
      <c r="BE34" s="107"/>
      <c r="BF34" s="107"/>
      <c r="BG34" s="107"/>
      <c r="BH34" s="107"/>
      <c r="BI34" s="107"/>
      <c r="BJ34" s="107"/>
      <c r="BK34" s="19"/>
      <c r="BM34" s="29" t="str">
        <f t="shared" si="0"/>
        <v/>
      </c>
    </row>
    <row r="35" spans="2:65" ht="25" customHeight="1" x14ac:dyDescent="0.2">
      <c r="B35" s="18">
        <f>COUNTA(C35:BJ35)</f>
        <v>6</v>
      </c>
      <c r="C35" s="101" t="s">
        <v>72</v>
      </c>
      <c r="D35" s="102"/>
      <c r="E35" s="102"/>
      <c r="F35" s="102"/>
      <c r="G35" s="102"/>
      <c r="H35" s="102"/>
      <c r="I35" s="102"/>
      <c r="J35" s="102"/>
      <c r="K35" s="102"/>
      <c r="L35" s="102"/>
      <c r="M35" s="102"/>
      <c r="N35" s="102"/>
      <c r="O35" s="102"/>
      <c r="P35" s="102"/>
      <c r="Q35" s="102"/>
      <c r="R35" s="102"/>
      <c r="S35" s="111">
        <v>2</v>
      </c>
      <c r="T35" s="111"/>
      <c r="U35" s="111"/>
      <c r="V35" s="111"/>
      <c r="W35" s="111">
        <v>1</v>
      </c>
      <c r="X35" s="111"/>
      <c r="Y35" s="111"/>
      <c r="Z35" s="111"/>
      <c r="AA35" s="112">
        <f t="shared" si="1"/>
        <v>2</v>
      </c>
      <c r="AB35" s="112"/>
      <c r="AC35" s="112"/>
      <c r="AD35" s="112"/>
      <c r="AE35" s="101" t="s">
        <v>271</v>
      </c>
      <c r="AF35" s="102"/>
      <c r="AG35" s="102"/>
      <c r="AH35" s="102"/>
      <c r="AI35" s="102"/>
      <c r="AJ35" s="102"/>
      <c r="AK35" s="102"/>
      <c r="AL35" s="102"/>
      <c r="AM35" s="102"/>
      <c r="AN35" s="102"/>
      <c r="AO35" s="102"/>
      <c r="AP35" s="102"/>
      <c r="AQ35" s="102"/>
      <c r="AR35" s="102"/>
      <c r="AS35" s="102"/>
      <c r="AT35" s="102"/>
      <c r="AU35" s="106" t="s">
        <v>272</v>
      </c>
      <c r="AV35" s="107"/>
      <c r="AW35" s="107"/>
      <c r="AX35" s="107"/>
      <c r="AY35" s="107"/>
      <c r="AZ35" s="107"/>
      <c r="BA35" s="107"/>
      <c r="BB35" s="107"/>
      <c r="BC35" s="107"/>
      <c r="BD35" s="107"/>
      <c r="BE35" s="107"/>
      <c r="BF35" s="107"/>
      <c r="BG35" s="107"/>
      <c r="BH35" s="107"/>
      <c r="BI35" s="107"/>
      <c r="BJ35" s="107"/>
      <c r="BK35" s="19"/>
      <c r="BM35" s="29" t="str">
        <f t="shared" si="0"/>
        <v/>
      </c>
    </row>
    <row r="36" spans="2:65" ht="25" customHeight="1" x14ac:dyDescent="0.2">
      <c r="B36" s="18">
        <f t="shared" ref="B36:B41" si="2">COUNTA(C36:Z36)+COUNTA(AE36:BJ36)</f>
        <v>5</v>
      </c>
      <c r="C36" s="101" t="s">
        <v>73</v>
      </c>
      <c r="D36" s="102"/>
      <c r="E36" s="102"/>
      <c r="F36" s="102"/>
      <c r="G36" s="102"/>
      <c r="H36" s="102"/>
      <c r="I36" s="102"/>
      <c r="J36" s="102"/>
      <c r="K36" s="102"/>
      <c r="L36" s="102"/>
      <c r="M36" s="102"/>
      <c r="N36" s="102"/>
      <c r="O36" s="102"/>
      <c r="P36" s="102"/>
      <c r="Q36" s="102"/>
      <c r="R36" s="102"/>
      <c r="S36" s="128">
        <v>2</v>
      </c>
      <c r="T36" s="128"/>
      <c r="U36" s="128"/>
      <c r="V36" s="128"/>
      <c r="W36" s="128">
        <v>3</v>
      </c>
      <c r="X36" s="128"/>
      <c r="Y36" s="128"/>
      <c r="Z36" s="128"/>
      <c r="AA36" s="136">
        <f t="shared" si="1"/>
        <v>6</v>
      </c>
      <c r="AB36" s="136"/>
      <c r="AC36" s="136"/>
      <c r="AD36" s="136"/>
      <c r="AE36" s="101" t="s">
        <v>273</v>
      </c>
      <c r="AF36" s="102"/>
      <c r="AG36" s="102"/>
      <c r="AH36" s="102"/>
      <c r="AI36" s="102"/>
      <c r="AJ36" s="102"/>
      <c r="AK36" s="102"/>
      <c r="AL36" s="102"/>
      <c r="AM36" s="102"/>
      <c r="AN36" s="102"/>
      <c r="AO36" s="102"/>
      <c r="AP36" s="102"/>
      <c r="AQ36" s="102"/>
      <c r="AR36" s="102"/>
      <c r="AS36" s="102"/>
      <c r="AT36" s="102"/>
      <c r="AU36" s="101" t="s">
        <v>275</v>
      </c>
      <c r="AV36" s="102"/>
      <c r="AW36" s="102"/>
      <c r="AX36" s="102"/>
      <c r="AY36" s="102"/>
      <c r="AZ36" s="102"/>
      <c r="BA36" s="102"/>
      <c r="BB36" s="102"/>
      <c r="BC36" s="102"/>
      <c r="BD36" s="102"/>
      <c r="BE36" s="102"/>
      <c r="BF36" s="102"/>
      <c r="BG36" s="102"/>
      <c r="BH36" s="102"/>
      <c r="BI36" s="102"/>
      <c r="BJ36" s="102"/>
      <c r="BK36" s="19"/>
      <c r="BM36" s="29" t="str">
        <f t="shared" si="0"/>
        <v/>
      </c>
    </row>
    <row r="37" spans="2:65" ht="25" customHeight="1" x14ac:dyDescent="0.2">
      <c r="B37" s="46">
        <f t="shared" si="2"/>
        <v>5</v>
      </c>
      <c r="C37" s="62" t="s">
        <v>74</v>
      </c>
      <c r="D37" s="63"/>
      <c r="E37" s="63"/>
      <c r="F37" s="63"/>
      <c r="G37" s="63"/>
      <c r="H37" s="63"/>
      <c r="I37" s="63"/>
      <c r="J37" s="63"/>
      <c r="K37" s="63"/>
      <c r="L37" s="63"/>
      <c r="M37" s="63"/>
      <c r="N37" s="63"/>
      <c r="O37" s="63"/>
      <c r="P37" s="63"/>
      <c r="Q37" s="63"/>
      <c r="R37" s="63"/>
      <c r="S37" s="135">
        <v>1</v>
      </c>
      <c r="T37" s="135"/>
      <c r="U37" s="135"/>
      <c r="V37" s="135"/>
      <c r="W37" s="135">
        <v>2</v>
      </c>
      <c r="X37" s="135"/>
      <c r="Y37" s="135"/>
      <c r="Z37" s="135"/>
      <c r="AA37" s="113">
        <f t="shared" si="1"/>
        <v>2</v>
      </c>
      <c r="AB37" s="113"/>
      <c r="AC37" s="113"/>
      <c r="AD37" s="113"/>
      <c r="AE37" s="62" t="s">
        <v>274</v>
      </c>
      <c r="AF37" s="63"/>
      <c r="AG37" s="63"/>
      <c r="AH37" s="63"/>
      <c r="AI37" s="63"/>
      <c r="AJ37" s="63"/>
      <c r="AK37" s="63"/>
      <c r="AL37" s="63"/>
      <c r="AM37" s="63"/>
      <c r="AN37" s="63"/>
      <c r="AO37" s="63"/>
      <c r="AP37" s="63"/>
      <c r="AQ37" s="63"/>
      <c r="AR37" s="63"/>
      <c r="AS37" s="63"/>
      <c r="AT37" s="63"/>
      <c r="AU37" s="62" t="s">
        <v>276</v>
      </c>
      <c r="AV37" s="63"/>
      <c r="AW37" s="63"/>
      <c r="AX37" s="63"/>
      <c r="AY37" s="63"/>
      <c r="AZ37" s="63"/>
      <c r="BA37" s="63"/>
      <c r="BB37" s="63"/>
      <c r="BC37" s="63"/>
      <c r="BD37" s="63"/>
      <c r="BE37" s="63"/>
      <c r="BF37" s="63"/>
      <c r="BG37" s="63"/>
      <c r="BH37" s="63"/>
      <c r="BI37" s="63"/>
      <c r="BJ37" s="63"/>
      <c r="BK37" s="19"/>
      <c r="BM37" s="29" t="str">
        <f t="shared" si="0"/>
        <v/>
      </c>
    </row>
    <row r="38" spans="2:65" ht="25" customHeight="1" x14ac:dyDescent="0.2">
      <c r="B38" s="47">
        <f t="shared" si="2"/>
        <v>5</v>
      </c>
      <c r="C38" s="67" t="s">
        <v>75</v>
      </c>
      <c r="D38" s="68"/>
      <c r="E38" s="68"/>
      <c r="F38" s="68"/>
      <c r="G38" s="68"/>
      <c r="H38" s="68"/>
      <c r="I38" s="68"/>
      <c r="J38" s="68"/>
      <c r="K38" s="68"/>
      <c r="L38" s="68"/>
      <c r="M38" s="68"/>
      <c r="N38" s="68"/>
      <c r="O38" s="68"/>
      <c r="P38" s="68"/>
      <c r="Q38" s="68"/>
      <c r="R38" s="68"/>
      <c r="S38" s="69">
        <v>1</v>
      </c>
      <c r="T38" s="69"/>
      <c r="U38" s="69"/>
      <c r="V38" s="69"/>
      <c r="W38" s="69">
        <v>2</v>
      </c>
      <c r="X38" s="69"/>
      <c r="Y38" s="69"/>
      <c r="Z38" s="69"/>
      <c r="AA38" s="70">
        <f t="shared" si="1"/>
        <v>2</v>
      </c>
      <c r="AB38" s="70"/>
      <c r="AC38" s="70"/>
      <c r="AD38" s="70"/>
      <c r="AE38" s="67" t="s">
        <v>277</v>
      </c>
      <c r="AF38" s="68"/>
      <c r="AG38" s="68"/>
      <c r="AH38" s="68"/>
      <c r="AI38" s="68"/>
      <c r="AJ38" s="68"/>
      <c r="AK38" s="68"/>
      <c r="AL38" s="68"/>
      <c r="AM38" s="68"/>
      <c r="AN38" s="68"/>
      <c r="AO38" s="68"/>
      <c r="AP38" s="68"/>
      <c r="AQ38" s="68"/>
      <c r="AR38" s="68"/>
      <c r="AS38" s="68"/>
      <c r="AT38" s="68"/>
      <c r="AU38" s="62" t="s">
        <v>276</v>
      </c>
      <c r="AV38" s="63"/>
      <c r="AW38" s="63"/>
      <c r="AX38" s="63"/>
      <c r="AY38" s="63"/>
      <c r="AZ38" s="63"/>
      <c r="BA38" s="63"/>
      <c r="BB38" s="63"/>
      <c r="BC38" s="63"/>
      <c r="BD38" s="63"/>
      <c r="BE38" s="63"/>
      <c r="BF38" s="63"/>
      <c r="BG38" s="63"/>
      <c r="BH38" s="63"/>
      <c r="BI38" s="63"/>
      <c r="BJ38" s="63"/>
      <c r="BK38" s="19"/>
      <c r="BM38" s="29" t="str">
        <f t="shared" si="0"/>
        <v/>
      </c>
    </row>
    <row r="39" spans="2:65" ht="25" customHeight="1" x14ac:dyDescent="0.2">
      <c r="B39" s="47">
        <f t="shared" si="2"/>
        <v>5</v>
      </c>
      <c r="C39" s="67" t="s">
        <v>266</v>
      </c>
      <c r="D39" s="68"/>
      <c r="E39" s="68"/>
      <c r="F39" s="68"/>
      <c r="G39" s="68"/>
      <c r="H39" s="68"/>
      <c r="I39" s="68"/>
      <c r="J39" s="68"/>
      <c r="K39" s="68"/>
      <c r="L39" s="68"/>
      <c r="M39" s="68"/>
      <c r="N39" s="68"/>
      <c r="O39" s="68"/>
      <c r="P39" s="68"/>
      <c r="Q39" s="68"/>
      <c r="R39" s="68"/>
      <c r="S39" s="69">
        <v>3</v>
      </c>
      <c r="T39" s="69"/>
      <c r="U39" s="69"/>
      <c r="V39" s="69"/>
      <c r="W39" s="69">
        <v>1</v>
      </c>
      <c r="X39" s="69"/>
      <c r="Y39" s="69"/>
      <c r="Z39" s="69"/>
      <c r="AA39" s="70">
        <f t="shared" si="1"/>
        <v>3</v>
      </c>
      <c r="AB39" s="70"/>
      <c r="AC39" s="70"/>
      <c r="AD39" s="70"/>
      <c r="AE39" s="67" t="s">
        <v>278</v>
      </c>
      <c r="AF39" s="68"/>
      <c r="AG39" s="68"/>
      <c r="AH39" s="68"/>
      <c r="AI39" s="68"/>
      <c r="AJ39" s="68"/>
      <c r="AK39" s="68"/>
      <c r="AL39" s="68"/>
      <c r="AM39" s="68"/>
      <c r="AN39" s="68"/>
      <c r="AO39" s="68"/>
      <c r="AP39" s="68"/>
      <c r="AQ39" s="68"/>
      <c r="AR39" s="68"/>
      <c r="AS39" s="68"/>
      <c r="AT39" s="68"/>
      <c r="AU39" s="62" t="s">
        <v>279</v>
      </c>
      <c r="AV39" s="63"/>
      <c r="AW39" s="63"/>
      <c r="AX39" s="63"/>
      <c r="AY39" s="63"/>
      <c r="AZ39" s="63"/>
      <c r="BA39" s="63"/>
      <c r="BB39" s="63"/>
      <c r="BC39" s="63"/>
      <c r="BD39" s="63"/>
      <c r="BE39" s="63"/>
      <c r="BF39" s="63"/>
      <c r="BG39" s="63"/>
      <c r="BH39" s="63"/>
      <c r="BI39" s="63"/>
      <c r="BJ39" s="63"/>
      <c r="BK39" s="19"/>
      <c r="BM39" s="29" t="str">
        <f t="shared" si="0"/>
        <v/>
      </c>
    </row>
    <row r="40" spans="2:65" ht="25" customHeight="1" x14ac:dyDescent="0.2">
      <c r="B40" s="47">
        <f t="shared" si="2"/>
        <v>5</v>
      </c>
      <c r="C40" s="67" t="s">
        <v>267</v>
      </c>
      <c r="D40" s="68"/>
      <c r="E40" s="68"/>
      <c r="F40" s="68"/>
      <c r="G40" s="68"/>
      <c r="H40" s="68"/>
      <c r="I40" s="68"/>
      <c r="J40" s="68"/>
      <c r="K40" s="68"/>
      <c r="L40" s="68"/>
      <c r="M40" s="68"/>
      <c r="N40" s="68"/>
      <c r="O40" s="68"/>
      <c r="P40" s="68"/>
      <c r="Q40" s="68"/>
      <c r="R40" s="68"/>
      <c r="S40" s="69">
        <v>2</v>
      </c>
      <c r="T40" s="69"/>
      <c r="U40" s="69"/>
      <c r="V40" s="69"/>
      <c r="W40" s="69">
        <v>3</v>
      </c>
      <c r="X40" s="69"/>
      <c r="Y40" s="69"/>
      <c r="Z40" s="69"/>
      <c r="AA40" s="70">
        <f t="shared" si="1"/>
        <v>6</v>
      </c>
      <c r="AB40" s="70"/>
      <c r="AC40" s="70"/>
      <c r="AD40" s="70"/>
      <c r="AE40" s="67" t="s">
        <v>280</v>
      </c>
      <c r="AF40" s="68"/>
      <c r="AG40" s="68"/>
      <c r="AH40" s="68"/>
      <c r="AI40" s="68"/>
      <c r="AJ40" s="68"/>
      <c r="AK40" s="68"/>
      <c r="AL40" s="68"/>
      <c r="AM40" s="68"/>
      <c r="AN40" s="68"/>
      <c r="AO40" s="68"/>
      <c r="AP40" s="68"/>
      <c r="AQ40" s="68"/>
      <c r="AR40" s="68"/>
      <c r="AS40" s="68"/>
      <c r="AT40" s="68"/>
      <c r="AU40" s="62" t="s">
        <v>281</v>
      </c>
      <c r="AV40" s="63"/>
      <c r="AW40" s="63"/>
      <c r="AX40" s="63"/>
      <c r="AY40" s="63"/>
      <c r="AZ40" s="63"/>
      <c r="BA40" s="63"/>
      <c r="BB40" s="63"/>
      <c r="BC40" s="63"/>
      <c r="BD40" s="63"/>
      <c r="BE40" s="63"/>
      <c r="BF40" s="63"/>
      <c r="BG40" s="63"/>
      <c r="BH40" s="63"/>
      <c r="BI40" s="63"/>
      <c r="BJ40" s="63"/>
      <c r="BK40" s="19"/>
      <c r="BM40" s="29" t="str">
        <f t="shared" si="0"/>
        <v/>
      </c>
    </row>
    <row r="41" spans="2:65" ht="25" customHeight="1" x14ac:dyDescent="0.2">
      <c r="B41" s="47">
        <f t="shared" si="2"/>
        <v>5</v>
      </c>
      <c r="C41" s="67" t="s">
        <v>268</v>
      </c>
      <c r="D41" s="68"/>
      <c r="E41" s="68"/>
      <c r="F41" s="68"/>
      <c r="G41" s="68"/>
      <c r="H41" s="68"/>
      <c r="I41" s="68"/>
      <c r="J41" s="68"/>
      <c r="K41" s="68"/>
      <c r="L41" s="68"/>
      <c r="M41" s="68"/>
      <c r="N41" s="68"/>
      <c r="O41" s="68"/>
      <c r="P41" s="68"/>
      <c r="Q41" s="68"/>
      <c r="R41" s="68"/>
      <c r="S41" s="69">
        <v>2</v>
      </c>
      <c r="T41" s="69"/>
      <c r="U41" s="69"/>
      <c r="V41" s="69"/>
      <c r="W41" s="69">
        <v>2</v>
      </c>
      <c r="X41" s="69"/>
      <c r="Y41" s="69"/>
      <c r="Z41" s="69"/>
      <c r="AA41" s="70">
        <f t="shared" si="1"/>
        <v>4</v>
      </c>
      <c r="AB41" s="70"/>
      <c r="AC41" s="70"/>
      <c r="AD41" s="70"/>
      <c r="AE41" s="67" t="s">
        <v>282</v>
      </c>
      <c r="AF41" s="68"/>
      <c r="AG41" s="68"/>
      <c r="AH41" s="68"/>
      <c r="AI41" s="68"/>
      <c r="AJ41" s="68"/>
      <c r="AK41" s="68"/>
      <c r="AL41" s="68"/>
      <c r="AM41" s="68"/>
      <c r="AN41" s="68"/>
      <c r="AO41" s="68"/>
      <c r="AP41" s="68"/>
      <c r="AQ41" s="68"/>
      <c r="AR41" s="68"/>
      <c r="AS41" s="68"/>
      <c r="AT41" s="68"/>
      <c r="AU41" s="62" t="s">
        <v>283</v>
      </c>
      <c r="AV41" s="63"/>
      <c r="AW41" s="63"/>
      <c r="AX41" s="63"/>
      <c r="AY41" s="63"/>
      <c r="AZ41" s="63"/>
      <c r="BA41" s="63"/>
      <c r="BB41" s="63"/>
      <c r="BC41" s="63"/>
      <c r="BD41" s="63"/>
      <c r="BE41" s="63"/>
      <c r="BF41" s="63"/>
      <c r="BG41" s="63"/>
      <c r="BH41" s="63"/>
      <c r="BI41" s="63"/>
      <c r="BJ41" s="63"/>
      <c r="BK41" s="19"/>
      <c r="BM41" s="29" t="str">
        <f t="shared" si="0"/>
        <v/>
      </c>
    </row>
    <row r="42" spans="2:65" ht="25" customHeight="1" x14ac:dyDescent="0.2">
      <c r="C42" s="71" t="s">
        <v>52</v>
      </c>
      <c r="D42" s="72"/>
      <c r="E42" s="72"/>
      <c r="F42" s="72"/>
      <c r="G42" s="72"/>
      <c r="H42" s="72"/>
      <c r="I42" s="72"/>
      <c r="J42" s="72"/>
      <c r="K42" s="72"/>
      <c r="L42" s="72"/>
      <c r="M42" s="72"/>
      <c r="N42" s="72"/>
      <c r="O42" s="72"/>
      <c r="P42" s="72"/>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3"/>
      <c r="BG42" s="74" t="s">
        <v>53</v>
      </c>
      <c r="BH42" s="75"/>
      <c r="BI42" s="74" t="s">
        <v>54</v>
      </c>
      <c r="BJ42" s="75"/>
      <c r="BM42" s="29">
        <v>1</v>
      </c>
    </row>
    <row r="43" spans="2:65" ht="25" customHeight="1" x14ac:dyDescent="0.2">
      <c r="C43" s="3"/>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BM43" s="29" t="str">
        <f>IF($BI$31="No",1,"")</f>
        <v/>
      </c>
    </row>
    <row r="44" spans="2:65" ht="16" thickBot="1" x14ac:dyDescent="0.25">
      <c r="C44" s="22" t="s">
        <v>76</v>
      </c>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M44" s="29" t="str">
        <f>IF($BI$45="No",1,"")</f>
        <v/>
      </c>
    </row>
    <row r="45" spans="2:65" ht="15" customHeight="1" x14ac:dyDescent="0.2">
      <c r="C45" s="3"/>
      <c r="D45" s="21"/>
      <c r="E45" s="21"/>
      <c r="F45" s="3"/>
      <c r="G45" s="21"/>
      <c r="H45" s="21"/>
      <c r="I45" s="3"/>
      <c r="J45" s="21"/>
      <c r="K45" s="21"/>
      <c r="L45" s="3"/>
      <c r="M45" s="21"/>
      <c r="N45" s="21"/>
      <c r="O45" s="3"/>
      <c r="P45" s="21"/>
      <c r="Q45" s="21"/>
      <c r="R45" s="3"/>
      <c r="S45" s="21"/>
      <c r="T45" s="21"/>
      <c r="U45" s="3"/>
      <c r="V45" s="21"/>
      <c r="W45" s="21"/>
      <c r="X45" s="3"/>
      <c r="Y45" s="21"/>
      <c r="Z45" s="21"/>
      <c r="AA45" s="3"/>
      <c r="AB45" s="21"/>
      <c r="AC45" s="21"/>
      <c r="AD45" s="21"/>
      <c r="AE45" s="21"/>
      <c r="AF45" s="21"/>
      <c r="AG45" s="21"/>
      <c r="AH45" s="21"/>
      <c r="AI45" s="21"/>
      <c r="AJ45" s="21"/>
      <c r="AK45" s="21"/>
      <c r="AL45" s="21"/>
      <c r="AM45" s="21"/>
      <c r="AN45" s="21"/>
      <c r="AX45" s="27"/>
      <c r="AY45" s="27"/>
      <c r="AZ45" s="27"/>
      <c r="BA45" s="27"/>
      <c r="BB45" s="27"/>
      <c r="BC45" s="27"/>
      <c r="BD45" s="27"/>
      <c r="BE45" s="27"/>
      <c r="BF45" s="27"/>
      <c r="BG45" s="27"/>
      <c r="BH45" s="28" t="s">
        <v>61</v>
      </c>
      <c r="BI45" s="114" t="s">
        <v>62</v>
      </c>
      <c r="BJ45" s="114"/>
      <c r="BM45" s="29">
        <v>1</v>
      </c>
    </row>
    <row r="46" spans="2:65" ht="15" customHeight="1" x14ac:dyDescent="0.2">
      <c r="C46" s="3"/>
      <c r="D46" s="21"/>
      <c r="E46" s="21"/>
      <c r="F46" s="3"/>
      <c r="G46" s="21"/>
      <c r="H46" s="21"/>
      <c r="I46" s="3"/>
      <c r="J46" s="21"/>
      <c r="K46" s="21"/>
      <c r="L46" s="3"/>
      <c r="M46" s="21"/>
      <c r="N46" s="21"/>
      <c r="O46" s="3"/>
      <c r="P46" s="21"/>
      <c r="Q46" s="21"/>
      <c r="R46" s="3"/>
      <c r="S46" s="21"/>
      <c r="T46" s="21"/>
      <c r="U46" s="3"/>
      <c r="V46" s="21"/>
      <c r="W46" s="21"/>
      <c r="X46" s="3"/>
      <c r="Y46" s="21"/>
      <c r="Z46" s="21"/>
      <c r="AA46" s="3"/>
      <c r="AB46" s="21"/>
      <c r="AC46" s="21"/>
      <c r="AD46" s="21"/>
      <c r="AE46" s="21"/>
      <c r="AF46" s="21"/>
      <c r="AG46" s="21"/>
      <c r="AH46" s="21"/>
      <c r="AI46" s="21"/>
      <c r="AJ46" s="21"/>
      <c r="AK46" s="21"/>
      <c r="AL46" s="21"/>
      <c r="AM46" s="21"/>
      <c r="AN46" s="21"/>
      <c r="BM46" s="29" t="str">
        <f>IF($BI$45="No",1,"")</f>
        <v/>
      </c>
    </row>
    <row r="47" spans="2:65" ht="25" customHeight="1" x14ac:dyDescent="0.2">
      <c r="C47" s="76" t="s">
        <v>77</v>
      </c>
      <c r="D47" s="77"/>
      <c r="E47" s="77"/>
      <c r="F47" s="77"/>
      <c r="G47" s="77"/>
      <c r="H47" s="77"/>
      <c r="I47" s="77"/>
      <c r="J47" s="77"/>
      <c r="K47" s="77"/>
      <c r="L47" s="77"/>
      <c r="M47" s="77"/>
      <c r="N47" s="77"/>
      <c r="O47" s="77"/>
      <c r="P47" s="77"/>
      <c r="Q47" s="77"/>
      <c r="R47" s="77"/>
      <c r="S47" s="77"/>
      <c r="T47" s="77"/>
      <c r="U47" s="77"/>
      <c r="V47" s="77"/>
      <c r="W47" s="77"/>
      <c r="X47" s="77"/>
      <c r="Y47" s="77"/>
      <c r="Z47" s="77"/>
      <c r="AA47" s="77"/>
      <c r="AB47" s="132" t="s">
        <v>78</v>
      </c>
      <c r="AC47" s="133"/>
      <c r="AD47" s="133"/>
      <c r="AE47" s="133"/>
      <c r="AF47" s="134"/>
      <c r="AG47" s="132" t="s">
        <v>79</v>
      </c>
      <c r="AH47" s="133"/>
      <c r="AI47" s="133"/>
      <c r="AJ47" s="133"/>
      <c r="AK47" s="134"/>
      <c r="AL47" s="76" t="s">
        <v>80</v>
      </c>
      <c r="AM47" s="77"/>
      <c r="AN47" s="77"/>
      <c r="AO47" s="77"/>
      <c r="AP47" s="77"/>
      <c r="AQ47" s="77"/>
      <c r="AR47" s="77"/>
      <c r="AS47" s="77"/>
      <c r="AT47" s="77"/>
      <c r="AU47" s="77"/>
      <c r="AV47" s="77"/>
      <c r="AW47" s="77"/>
      <c r="AX47" s="77"/>
      <c r="AY47" s="77"/>
      <c r="AZ47" s="77"/>
      <c r="BA47" s="77"/>
      <c r="BB47" s="77"/>
      <c r="BC47" s="77"/>
      <c r="BD47" s="77"/>
      <c r="BE47" s="77"/>
      <c r="BF47" s="77"/>
      <c r="BG47" s="77"/>
      <c r="BH47" s="77"/>
      <c r="BI47" s="77"/>
      <c r="BJ47" s="78"/>
      <c r="BM47" s="29" t="str">
        <f>IF($BI$45="No",1,"")</f>
        <v/>
      </c>
    </row>
    <row r="48" spans="2:65" ht="79" customHeight="1" x14ac:dyDescent="0.2">
      <c r="B48" s="18">
        <f>COUNTA(C48:BJ48)</f>
        <v>4</v>
      </c>
      <c r="C48" s="118" t="s">
        <v>81</v>
      </c>
      <c r="D48" s="119"/>
      <c r="E48" s="119"/>
      <c r="F48" s="119"/>
      <c r="G48" s="119"/>
      <c r="H48" s="119"/>
      <c r="I48" s="119"/>
      <c r="J48" s="119"/>
      <c r="K48" s="119"/>
      <c r="L48" s="119"/>
      <c r="M48" s="119"/>
      <c r="N48" s="119"/>
      <c r="O48" s="119"/>
      <c r="P48" s="119"/>
      <c r="Q48" s="119"/>
      <c r="R48" s="119"/>
      <c r="S48" s="119"/>
      <c r="T48" s="119"/>
      <c r="U48" s="119"/>
      <c r="V48" s="119"/>
      <c r="W48" s="119"/>
      <c r="X48" s="119"/>
      <c r="Y48" s="119"/>
      <c r="Z48" s="119"/>
      <c r="AA48" s="120"/>
      <c r="AB48" s="121" t="s">
        <v>62</v>
      </c>
      <c r="AC48" s="122"/>
      <c r="AD48" s="122"/>
      <c r="AE48" s="122"/>
      <c r="AF48" s="123"/>
      <c r="AG48" s="121" t="s">
        <v>82</v>
      </c>
      <c r="AH48" s="122"/>
      <c r="AI48" s="122"/>
      <c r="AJ48" s="122"/>
      <c r="AK48" s="123"/>
      <c r="AL48" s="124" t="s">
        <v>296</v>
      </c>
      <c r="AM48" s="122"/>
      <c r="AN48" s="122"/>
      <c r="AO48" s="122"/>
      <c r="AP48" s="122"/>
      <c r="AQ48" s="122"/>
      <c r="AR48" s="122"/>
      <c r="AS48" s="122"/>
      <c r="AT48" s="122"/>
      <c r="AU48" s="122"/>
      <c r="AV48" s="122"/>
      <c r="AW48" s="122"/>
      <c r="AX48" s="122"/>
      <c r="AY48" s="122"/>
      <c r="AZ48" s="122"/>
      <c r="BA48" s="122"/>
      <c r="BB48" s="122"/>
      <c r="BC48" s="122"/>
      <c r="BD48" s="122"/>
      <c r="BE48" s="122"/>
      <c r="BF48" s="122"/>
      <c r="BG48" s="122"/>
      <c r="BH48" s="122"/>
      <c r="BI48" s="122"/>
      <c r="BJ48" s="123"/>
      <c r="BK48" s="19"/>
      <c r="BM48" s="29" t="str">
        <f>IF($BI$45="No",1,"")</f>
        <v/>
      </c>
    </row>
    <row r="49" spans="2:65" ht="25" customHeight="1" x14ac:dyDescent="0.2">
      <c r="C49" s="131" t="s">
        <v>52</v>
      </c>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c r="AY49" s="131"/>
      <c r="AZ49" s="131"/>
      <c r="BA49" s="131"/>
      <c r="BB49" s="131"/>
      <c r="BC49" s="131"/>
      <c r="BD49" s="131"/>
      <c r="BE49" s="131"/>
      <c r="BF49" s="131"/>
      <c r="BG49" s="74" t="s">
        <v>53</v>
      </c>
      <c r="BH49" s="75"/>
      <c r="BI49" s="74" t="s">
        <v>54</v>
      </c>
      <c r="BJ49" s="75"/>
      <c r="BM49" s="29">
        <v>1</v>
      </c>
    </row>
    <row r="50" spans="2:65" ht="25" customHeight="1" x14ac:dyDescent="0.2">
      <c r="C50" s="3"/>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BM50" s="29" t="str">
        <f>IF($BI$45="No",1,"")</f>
        <v/>
      </c>
    </row>
    <row r="51" spans="2:65" ht="16" thickBot="1" x14ac:dyDescent="0.25">
      <c r="C51" s="22" t="s">
        <v>83</v>
      </c>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M51" s="29" t="str">
        <f>IF($BI$52="No",1,"")</f>
        <v/>
      </c>
    </row>
    <row r="52" spans="2:65" x14ac:dyDescent="0.2">
      <c r="C52" s="26"/>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8" t="s">
        <v>61</v>
      </c>
      <c r="BI52" s="114" t="s">
        <v>62</v>
      </c>
      <c r="BJ52" s="114"/>
      <c r="BM52" s="29">
        <v>1</v>
      </c>
    </row>
    <row r="53" spans="2:65" ht="15" customHeight="1" x14ac:dyDescent="0.2">
      <c r="C53" s="3"/>
      <c r="D53" s="21"/>
      <c r="E53" s="21"/>
      <c r="F53" s="3"/>
      <c r="G53" s="21"/>
      <c r="H53" s="21"/>
      <c r="I53" s="3"/>
      <c r="J53" s="21"/>
      <c r="K53" s="21"/>
      <c r="L53" s="3"/>
      <c r="M53" s="21"/>
      <c r="N53" s="21"/>
      <c r="O53" s="3"/>
      <c r="P53" s="21"/>
      <c r="Q53" s="21"/>
      <c r="R53" s="3"/>
      <c r="S53" s="21"/>
      <c r="T53" s="21"/>
      <c r="U53" s="3"/>
      <c r="V53" s="21"/>
      <c r="W53" s="21"/>
      <c r="X53" s="3"/>
      <c r="Y53" s="21"/>
      <c r="Z53" s="21"/>
      <c r="AA53" s="3"/>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M53" s="29" t="str">
        <f t="shared" ref="BM53:BM60" si="3">IF($BI$52="No",1,"")</f>
        <v/>
      </c>
    </row>
    <row r="54" spans="2:65" ht="212" customHeight="1" x14ac:dyDescent="0.2">
      <c r="B54" s="18">
        <f t="shared" ref="B54:B60" si="4">COUNTA(C54:BJ54)</f>
        <v>1</v>
      </c>
      <c r="C54" s="82" t="s">
        <v>297</v>
      </c>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4"/>
      <c r="BM54" s="29" t="str">
        <f t="shared" si="3"/>
        <v/>
      </c>
    </row>
    <row r="55" spans="2:65" ht="65" customHeight="1" x14ac:dyDescent="0.2">
      <c r="B55" s="46">
        <f t="shared" si="4"/>
        <v>1</v>
      </c>
      <c r="C55" s="57" t="s">
        <v>287</v>
      </c>
      <c r="D55" s="64"/>
      <c r="E55" s="64"/>
      <c r="F55" s="64"/>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59"/>
      <c r="BM55" s="29" t="str">
        <f t="shared" si="3"/>
        <v/>
      </c>
    </row>
    <row r="56" spans="2:65" ht="25" customHeight="1" x14ac:dyDescent="0.2">
      <c r="B56" s="47">
        <f t="shared" si="4"/>
        <v>1</v>
      </c>
      <c r="C56" s="57" t="s">
        <v>286</v>
      </c>
      <c r="D56" s="58"/>
      <c r="E56" s="58"/>
      <c r="F56" s="58"/>
      <c r="G56" s="58"/>
      <c r="H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c r="BA56" s="58"/>
      <c r="BB56" s="58"/>
      <c r="BC56" s="58"/>
      <c r="BD56" s="58"/>
      <c r="BE56" s="58"/>
      <c r="BF56" s="58"/>
      <c r="BG56" s="58"/>
      <c r="BH56" s="58"/>
      <c r="BI56" s="58"/>
      <c r="BJ56" s="59"/>
      <c r="BK56" s="19"/>
      <c r="BM56" s="29" t="str">
        <f t="shared" si="3"/>
        <v/>
      </c>
    </row>
    <row r="57" spans="2:65" ht="86" customHeight="1" x14ac:dyDescent="0.2">
      <c r="B57" s="47">
        <f t="shared" si="4"/>
        <v>1</v>
      </c>
      <c r="C57" s="57" t="s">
        <v>288</v>
      </c>
      <c r="D57" s="58"/>
      <c r="E57" s="58"/>
      <c r="F57" s="58"/>
      <c r="G57" s="58"/>
      <c r="H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c r="BA57" s="58"/>
      <c r="BB57" s="58"/>
      <c r="BC57" s="58"/>
      <c r="BD57" s="58"/>
      <c r="BE57" s="58"/>
      <c r="BF57" s="58"/>
      <c r="BG57" s="58"/>
      <c r="BH57" s="58"/>
      <c r="BI57" s="58"/>
      <c r="BJ57" s="59"/>
      <c r="BK57" s="19"/>
      <c r="BM57" s="29" t="str">
        <f t="shared" si="3"/>
        <v/>
      </c>
    </row>
    <row r="58" spans="2:65" ht="25" customHeight="1" x14ac:dyDescent="0.2">
      <c r="B58" s="47">
        <f t="shared" si="4"/>
        <v>1</v>
      </c>
      <c r="C58" s="60" t="s">
        <v>289</v>
      </c>
      <c r="D58" s="58"/>
      <c r="E58" s="58"/>
      <c r="F58" s="58"/>
      <c r="G58" s="58"/>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61"/>
      <c r="BK58" s="19"/>
      <c r="BM58" s="29" t="str">
        <f t="shared" si="3"/>
        <v/>
      </c>
    </row>
    <row r="59" spans="2:65" ht="40" customHeight="1" x14ac:dyDescent="0.2">
      <c r="B59" s="47">
        <f t="shared" si="4"/>
        <v>1</v>
      </c>
      <c r="C59" s="60" t="s">
        <v>290</v>
      </c>
      <c r="D59" s="58"/>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c r="BA59" s="58"/>
      <c r="BB59" s="58"/>
      <c r="BC59" s="58"/>
      <c r="BD59" s="58"/>
      <c r="BE59" s="58"/>
      <c r="BF59" s="58"/>
      <c r="BG59" s="58"/>
      <c r="BH59" s="58"/>
      <c r="BI59" s="58"/>
      <c r="BJ59" s="61"/>
      <c r="BK59" s="19"/>
      <c r="BM59" s="29" t="str">
        <f t="shared" si="3"/>
        <v/>
      </c>
    </row>
    <row r="60" spans="2:65" ht="40" customHeight="1" x14ac:dyDescent="0.2">
      <c r="B60" s="47">
        <f t="shared" si="4"/>
        <v>0</v>
      </c>
      <c r="C60" s="54"/>
      <c r="D60" s="55"/>
      <c r="E60" s="55"/>
      <c r="F60" s="55"/>
      <c r="G60" s="55"/>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6"/>
      <c r="BK60" s="19"/>
      <c r="BM60" s="29" t="str">
        <f t="shared" si="3"/>
        <v/>
      </c>
    </row>
    <row r="61" spans="2:65" ht="25" customHeight="1" x14ac:dyDescent="0.2">
      <c r="C61" s="71" t="s">
        <v>52</v>
      </c>
      <c r="D61" s="72"/>
      <c r="E61" s="72"/>
      <c r="F61" s="72"/>
      <c r="G61" s="72"/>
      <c r="H61" s="72"/>
      <c r="I61" s="72"/>
      <c r="J61" s="72"/>
      <c r="K61" s="72"/>
      <c r="L61" s="72"/>
      <c r="M61" s="72"/>
      <c r="N61" s="72"/>
      <c r="O61" s="72"/>
      <c r="P61" s="72"/>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3"/>
      <c r="BG61" s="74" t="s">
        <v>53</v>
      </c>
      <c r="BH61" s="75"/>
      <c r="BI61" s="74" t="s">
        <v>54</v>
      </c>
      <c r="BJ61" s="75"/>
      <c r="BM61" s="29">
        <v>1</v>
      </c>
    </row>
    <row r="62" spans="2:65" ht="25" customHeight="1" x14ac:dyDescent="0.2">
      <c r="C62" s="3"/>
      <c r="D62" s="21"/>
      <c r="E62" s="21"/>
      <c r="F62" s="21"/>
      <c r="G62" s="3"/>
      <c r="H62" s="21"/>
      <c r="I62" s="21"/>
      <c r="J62" s="21"/>
      <c r="K62" s="3"/>
      <c r="L62" s="21"/>
      <c r="M62" s="21"/>
      <c r="N62" s="21"/>
      <c r="O62" s="3"/>
      <c r="P62" s="21"/>
      <c r="Q62" s="21"/>
      <c r="R62" s="21"/>
      <c r="S62" s="3"/>
      <c r="T62" s="21"/>
      <c r="U62" s="21"/>
      <c r="V62" s="21"/>
      <c r="W62" s="3"/>
      <c r="X62" s="21"/>
      <c r="Y62" s="21"/>
      <c r="Z62" s="21"/>
      <c r="AA62" s="3"/>
      <c r="AB62" s="21"/>
      <c r="AC62" s="21"/>
      <c r="AD62" s="21"/>
      <c r="AE62" s="3"/>
      <c r="AF62" s="21"/>
      <c r="AG62" s="21"/>
      <c r="AH62" s="21"/>
      <c r="AI62" s="21"/>
      <c r="AJ62" s="21"/>
      <c r="AK62" s="21"/>
      <c r="AL62" s="21"/>
      <c r="AM62" s="21"/>
      <c r="AN62" s="21"/>
      <c r="BM62" s="29" t="str">
        <f>IF($BI$52="No",1,"")</f>
        <v/>
      </c>
    </row>
    <row r="63" spans="2:65" ht="16" thickBot="1" x14ac:dyDescent="0.25">
      <c r="C63" s="22" t="s">
        <v>18</v>
      </c>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M63" s="29" t="str">
        <f>IF($BI$64="No",1,"")</f>
        <v/>
      </c>
    </row>
    <row r="64" spans="2:65" x14ac:dyDescent="0.2">
      <c r="C64" s="26"/>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8" t="s">
        <v>61</v>
      </c>
      <c r="BI64" s="114" t="s">
        <v>62</v>
      </c>
      <c r="BJ64" s="114"/>
      <c r="BM64" s="29">
        <v>1</v>
      </c>
    </row>
    <row r="65" spans="2:65" ht="15" customHeight="1" x14ac:dyDescent="0.2">
      <c r="C65" s="3"/>
      <c r="D65" s="21"/>
      <c r="E65" s="21"/>
      <c r="F65" s="3"/>
      <c r="G65" s="21"/>
      <c r="H65" s="21"/>
      <c r="I65" s="3"/>
      <c r="J65" s="21"/>
      <c r="K65" s="21"/>
      <c r="L65" s="3"/>
      <c r="M65" s="21"/>
      <c r="N65" s="21"/>
      <c r="O65" s="3"/>
      <c r="P65" s="21"/>
      <c r="Q65" s="21"/>
      <c r="R65" s="3"/>
      <c r="S65" s="21"/>
      <c r="T65" s="21"/>
      <c r="U65" s="3"/>
      <c r="V65" s="21"/>
      <c r="W65" s="21"/>
      <c r="X65" s="3"/>
      <c r="Y65" s="21"/>
      <c r="Z65" s="21"/>
      <c r="AA65" s="3"/>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M65" s="29" t="str">
        <f>IF($BI$64="No",1,"")</f>
        <v/>
      </c>
    </row>
    <row r="66" spans="2:65" ht="25" customHeight="1" x14ac:dyDescent="0.2">
      <c r="B66" s="18">
        <f>COUNTA(C66:BJ66)</f>
        <v>0</v>
      </c>
      <c r="C66" s="82"/>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4"/>
      <c r="BM66" s="29" t="str">
        <f>IF($BI$64="No",1,"")</f>
        <v/>
      </c>
    </row>
    <row r="67" spans="2:65" ht="25" customHeight="1" x14ac:dyDescent="0.2">
      <c r="B67" s="18">
        <f>COUNTA(C67:BJ67)</f>
        <v>0</v>
      </c>
      <c r="C67" s="57"/>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59"/>
      <c r="BM67" s="29" t="str">
        <f>IF($BI$64="No",1,"")</f>
        <v/>
      </c>
    </row>
    <row r="68" spans="2:65" ht="25" customHeight="1" x14ac:dyDescent="0.2">
      <c r="B68" s="18">
        <f>COUNTA(C68:BJ68)</f>
        <v>0</v>
      </c>
      <c r="C68" s="65"/>
      <c r="D68" s="55"/>
      <c r="E68" s="55"/>
      <c r="F68" s="55"/>
      <c r="G68" s="55"/>
      <c r="H68" s="55"/>
      <c r="I68" s="55"/>
      <c r="J68" s="55"/>
      <c r="K68" s="55"/>
      <c r="L68" s="55"/>
      <c r="M68" s="55"/>
      <c r="N68" s="55"/>
      <c r="O68" s="55"/>
      <c r="P68" s="55"/>
      <c r="Q68" s="55"/>
      <c r="R68" s="55"/>
      <c r="S68" s="55"/>
      <c r="T68" s="55"/>
      <c r="U68" s="55"/>
      <c r="V68" s="55"/>
      <c r="W68" s="55"/>
      <c r="X68" s="55"/>
      <c r="Y68" s="55"/>
      <c r="Z68" s="55"/>
      <c r="AA68" s="55"/>
      <c r="AB68" s="55"/>
      <c r="AC68" s="55"/>
      <c r="AD68" s="55"/>
      <c r="AE68" s="55"/>
      <c r="AF68" s="55"/>
      <c r="AG68" s="55"/>
      <c r="AH68" s="55"/>
      <c r="AI68" s="55"/>
      <c r="AJ68" s="55"/>
      <c r="AK68" s="55"/>
      <c r="AL68" s="55"/>
      <c r="AM68" s="55"/>
      <c r="AN68" s="55"/>
      <c r="AO68" s="55"/>
      <c r="AP68" s="55"/>
      <c r="AQ68" s="55"/>
      <c r="AR68" s="55"/>
      <c r="AS68" s="55"/>
      <c r="AT68" s="55"/>
      <c r="AU68" s="55"/>
      <c r="AV68" s="55"/>
      <c r="AW68" s="55"/>
      <c r="AX68" s="55"/>
      <c r="AY68" s="55"/>
      <c r="AZ68" s="55"/>
      <c r="BA68" s="55"/>
      <c r="BB68" s="55"/>
      <c r="BC68" s="55"/>
      <c r="BD68" s="55"/>
      <c r="BE68" s="55"/>
      <c r="BF68" s="55"/>
      <c r="BG68" s="55"/>
      <c r="BH68" s="55"/>
      <c r="BI68" s="55"/>
      <c r="BJ68" s="66"/>
      <c r="BK68" s="19"/>
      <c r="BM68" s="29" t="str">
        <f>IF($BI$64="No",1,"")</f>
        <v/>
      </c>
    </row>
    <row r="69" spans="2:65" ht="25" customHeight="1" x14ac:dyDescent="0.2">
      <c r="C69" s="71" t="s">
        <v>52</v>
      </c>
      <c r="D69" s="72"/>
      <c r="E69" s="72"/>
      <c r="F69" s="72"/>
      <c r="G69" s="72"/>
      <c r="H69" s="72"/>
      <c r="I69" s="72"/>
      <c r="J69" s="72"/>
      <c r="K69" s="72"/>
      <c r="L69" s="72"/>
      <c r="M69" s="72"/>
      <c r="N69" s="72"/>
      <c r="O69" s="72"/>
      <c r="P69" s="72"/>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3"/>
      <c r="BG69" s="74" t="s">
        <v>53</v>
      </c>
      <c r="BH69" s="75"/>
      <c r="BI69" s="74" t="s">
        <v>54</v>
      </c>
      <c r="BJ69" s="75"/>
      <c r="BM69" s="29">
        <v>1</v>
      </c>
    </row>
    <row r="70" spans="2:65" ht="25" customHeight="1" x14ac:dyDescent="0.2">
      <c r="C70" s="3"/>
      <c r="D70" s="21"/>
      <c r="E70" s="21"/>
      <c r="F70" s="21"/>
      <c r="G70" s="3"/>
      <c r="H70" s="21"/>
      <c r="I70" s="21"/>
      <c r="J70" s="21"/>
      <c r="K70" s="3"/>
      <c r="L70" s="21"/>
      <c r="M70" s="21"/>
      <c r="N70" s="21"/>
      <c r="O70" s="3"/>
      <c r="P70" s="21"/>
      <c r="Q70" s="21"/>
      <c r="R70" s="21"/>
      <c r="S70" s="3"/>
      <c r="T70" s="21"/>
      <c r="U70" s="21"/>
      <c r="V70" s="21"/>
      <c r="W70" s="3"/>
      <c r="X70" s="21"/>
      <c r="Y70" s="21"/>
      <c r="Z70" s="21"/>
      <c r="AA70" s="3"/>
      <c r="AB70" s="21"/>
      <c r="AC70" s="21"/>
      <c r="AD70" s="21"/>
      <c r="AE70" s="3"/>
      <c r="AF70" s="21"/>
      <c r="AG70" s="21"/>
      <c r="AH70" s="21"/>
      <c r="AI70" s="21"/>
      <c r="AJ70" s="21"/>
      <c r="AK70" s="21"/>
      <c r="AL70" s="21"/>
      <c r="AM70" s="21"/>
      <c r="AN70" s="21"/>
      <c r="BM70" s="29" t="str">
        <f>IF($BI$64="No",1,"")</f>
        <v/>
      </c>
    </row>
    <row r="71" spans="2:65" ht="16" thickBot="1" x14ac:dyDescent="0.25">
      <c r="C71" s="22" t="s">
        <v>20</v>
      </c>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M71" s="29" t="str">
        <f>IF($BI$72="No",1,"")</f>
        <v/>
      </c>
    </row>
    <row r="72" spans="2:65" x14ac:dyDescent="0.2">
      <c r="C72" s="26"/>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8" t="s">
        <v>61</v>
      </c>
      <c r="BI72" s="114" t="s">
        <v>62</v>
      </c>
      <c r="BJ72" s="114"/>
      <c r="BM72" s="29">
        <v>1</v>
      </c>
    </row>
    <row r="73" spans="2:65" ht="15" customHeight="1" x14ac:dyDescent="0.2">
      <c r="C73" s="3"/>
      <c r="D73" s="21"/>
      <c r="E73" s="21"/>
      <c r="F73" s="3"/>
      <c r="G73" s="21"/>
      <c r="H73" s="21"/>
      <c r="I73" s="3"/>
      <c r="J73" s="21"/>
      <c r="K73" s="21"/>
      <c r="L73" s="3"/>
      <c r="M73" s="21"/>
      <c r="N73" s="21"/>
      <c r="O73" s="3"/>
      <c r="P73" s="21"/>
      <c r="Q73" s="21"/>
      <c r="R73" s="3"/>
      <c r="S73" s="21"/>
      <c r="T73" s="21"/>
      <c r="U73" s="3"/>
      <c r="V73" s="21"/>
      <c r="W73" s="21"/>
      <c r="X73" s="3"/>
      <c r="Y73" s="21"/>
      <c r="Z73" s="21"/>
      <c r="AA73" s="3"/>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M73" s="29" t="str">
        <f t="shared" ref="BM73:BM85" si="5">IF($BI$72="No",1,"")</f>
        <v/>
      </c>
    </row>
    <row r="74" spans="2:65" ht="42" customHeight="1" x14ac:dyDescent="0.2">
      <c r="B74" s="18">
        <f>COUNTA(C74:BJ74)</f>
        <v>0</v>
      </c>
      <c r="C74" s="82"/>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4"/>
      <c r="BM74" s="29" t="str">
        <f t="shared" si="5"/>
        <v/>
      </c>
    </row>
    <row r="75" spans="2:65" ht="30" customHeight="1" x14ac:dyDescent="0.2">
      <c r="B75" s="18">
        <f>COUNTA(C75:BJ75)</f>
        <v>0</v>
      </c>
      <c r="C75" s="57"/>
      <c r="D75" s="64"/>
      <c r="E75" s="64"/>
      <c r="F75" s="64"/>
      <c r="G75" s="64"/>
      <c r="H75" s="64"/>
      <c r="I75" s="64"/>
      <c r="J75" s="64"/>
      <c r="K75" s="64"/>
      <c r="L75" s="64"/>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59"/>
      <c r="BM75" s="29" t="str">
        <f t="shared" si="5"/>
        <v/>
      </c>
    </row>
    <row r="76" spans="2:65" ht="25" customHeight="1" x14ac:dyDescent="0.2">
      <c r="B76" s="18">
        <f>COUNTA(C76:BJ76)</f>
        <v>0</v>
      </c>
      <c r="C76" s="6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66"/>
      <c r="BK76" s="19"/>
      <c r="BM76" s="29" t="str">
        <f t="shared" si="5"/>
        <v/>
      </c>
    </row>
    <row r="77" spans="2:65" ht="25" customHeight="1" x14ac:dyDescent="0.2">
      <c r="C77" s="71" t="s">
        <v>52</v>
      </c>
      <c r="D77" s="72"/>
      <c r="E77" s="72"/>
      <c r="F77" s="72"/>
      <c r="G77" s="72"/>
      <c r="H77" s="72"/>
      <c r="I77" s="72"/>
      <c r="J77" s="72"/>
      <c r="K77" s="72"/>
      <c r="L77" s="72"/>
      <c r="M77" s="72"/>
      <c r="N77" s="72"/>
      <c r="O77" s="72"/>
      <c r="P77" s="72"/>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3"/>
      <c r="BG77" s="74" t="s">
        <v>53</v>
      </c>
      <c r="BH77" s="75"/>
      <c r="BI77" s="74" t="s">
        <v>54</v>
      </c>
      <c r="BJ77" s="75"/>
      <c r="BM77" s="29">
        <v>1</v>
      </c>
    </row>
    <row r="78" spans="2:65" ht="25" customHeight="1" x14ac:dyDescent="0.2">
      <c r="C78" s="3"/>
      <c r="D78" s="21"/>
      <c r="E78" s="21"/>
      <c r="F78" s="21"/>
      <c r="G78" s="3"/>
      <c r="H78" s="21"/>
      <c r="I78" s="21"/>
      <c r="J78" s="21"/>
      <c r="K78" s="3"/>
      <c r="L78" s="21"/>
      <c r="M78" s="21"/>
      <c r="N78" s="21"/>
      <c r="O78" s="3"/>
      <c r="P78" s="21"/>
      <c r="Q78" s="21"/>
      <c r="R78" s="21"/>
      <c r="S78" s="3"/>
      <c r="T78" s="21"/>
      <c r="U78" s="21"/>
      <c r="V78" s="21"/>
      <c r="W78" s="3"/>
      <c r="X78" s="21"/>
      <c r="Y78" s="21"/>
      <c r="Z78" s="21"/>
      <c r="AA78" s="3"/>
      <c r="AB78" s="21"/>
      <c r="AC78" s="21"/>
      <c r="AD78" s="21"/>
      <c r="AE78" s="3"/>
      <c r="AF78" s="21"/>
      <c r="AG78" s="21"/>
      <c r="AH78" s="21"/>
      <c r="AI78" s="21"/>
      <c r="AJ78" s="21"/>
      <c r="AK78" s="21"/>
      <c r="AL78" s="21"/>
      <c r="AM78" s="21"/>
      <c r="AN78" s="21"/>
      <c r="BM78" s="29" t="str">
        <f t="shared" si="5"/>
        <v/>
      </c>
    </row>
    <row r="79" spans="2:65" ht="25" customHeight="1" x14ac:dyDescent="0.2">
      <c r="C79" s="3"/>
      <c r="D79" s="21"/>
      <c r="E79" s="21"/>
      <c r="F79" s="3"/>
      <c r="G79" s="21"/>
      <c r="H79" s="21"/>
      <c r="I79" s="3"/>
      <c r="J79" s="21"/>
      <c r="K79" s="21"/>
      <c r="L79" s="3"/>
      <c r="M79" s="21"/>
      <c r="N79" s="21"/>
      <c r="O79" s="3"/>
      <c r="P79" s="21"/>
      <c r="Q79" s="21"/>
      <c r="R79" s="50" t="s">
        <v>84</v>
      </c>
      <c r="S79" s="109">
        <f>IF(SUM(S81:Z84)=0,"",SUM(S81:Z84))</f>
        <v>13</v>
      </c>
      <c r="T79" s="109"/>
      <c r="U79" s="109"/>
      <c r="V79" s="109"/>
      <c r="W79" s="109"/>
      <c r="X79" s="109"/>
      <c r="Y79" s="109"/>
      <c r="Z79" s="110"/>
      <c r="AA79" s="125"/>
      <c r="AB79" s="126"/>
      <c r="AC79" s="126"/>
      <c r="AD79" s="127"/>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M79" s="29" t="str">
        <f t="shared" si="5"/>
        <v/>
      </c>
    </row>
    <row r="80" spans="2:65" ht="25" customHeight="1" x14ac:dyDescent="0.2">
      <c r="C80" s="104" t="s">
        <v>85</v>
      </c>
      <c r="D80" s="104"/>
      <c r="E80" s="104"/>
      <c r="F80" s="104"/>
      <c r="G80" s="104"/>
      <c r="H80" s="104"/>
      <c r="I80" s="104"/>
      <c r="J80" s="104"/>
      <c r="K80" s="104"/>
      <c r="L80" s="104"/>
      <c r="M80" s="104"/>
      <c r="N80" s="104"/>
      <c r="O80" s="104"/>
      <c r="P80" s="104"/>
      <c r="Q80" s="104"/>
      <c r="R80" s="104"/>
      <c r="S80" s="88" t="s">
        <v>86</v>
      </c>
      <c r="T80" s="89"/>
      <c r="U80" s="89"/>
      <c r="V80" s="89"/>
      <c r="W80" s="89"/>
      <c r="X80" s="89"/>
      <c r="Y80" s="89"/>
      <c r="Z80" s="90"/>
      <c r="AA80" s="105" t="s">
        <v>87</v>
      </c>
      <c r="AB80" s="105"/>
      <c r="AC80" s="105"/>
      <c r="AD80" s="105"/>
      <c r="AE80" s="76" t="s">
        <v>80</v>
      </c>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8"/>
      <c r="BM80" s="29" t="str">
        <f t="shared" si="5"/>
        <v/>
      </c>
    </row>
    <row r="81" spans="2:65" ht="47" customHeight="1" x14ac:dyDescent="0.2">
      <c r="B81" s="18">
        <f>COUNTA(C81:BJ81)</f>
        <v>4</v>
      </c>
      <c r="C81" s="106" t="s">
        <v>88</v>
      </c>
      <c r="D81" s="107"/>
      <c r="E81" s="107"/>
      <c r="F81" s="107"/>
      <c r="G81" s="107"/>
      <c r="H81" s="107"/>
      <c r="I81" s="107"/>
      <c r="J81" s="107"/>
      <c r="K81" s="107"/>
      <c r="L81" s="107"/>
      <c r="M81" s="107"/>
      <c r="N81" s="107"/>
      <c r="O81" s="107"/>
      <c r="P81" s="107"/>
      <c r="Q81" s="107"/>
      <c r="R81" s="107"/>
      <c r="S81" s="91">
        <v>8</v>
      </c>
      <c r="T81" s="92"/>
      <c r="U81" s="92"/>
      <c r="V81" s="92"/>
      <c r="W81" s="92"/>
      <c r="X81" s="92"/>
      <c r="Y81" s="92"/>
      <c r="Z81" s="93"/>
      <c r="AA81" s="108" t="s">
        <v>265</v>
      </c>
      <c r="AB81" s="108"/>
      <c r="AC81" s="108"/>
      <c r="AD81" s="108"/>
      <c r="AE81" s="79" t="s">
        <v>292</v>
      </c>
      <c r="AF81" s="80"/>
      <c r="AG81" s="80"/>
      <c r="AH81" s="80"/>
      <c r="AI81" s="80"/>
      <c r="AJ81" s="80"/>
      <c r="AK81" s="80"/>
      <c r="AL81" s="80"/>
      <c r="AM81" s="80"/>
      <c r="AN81" s="80"/>
      <c r="AO81" s="80"/>
      <c r="AP81" s="80"/>
      <c r="AQ81" s="80"/>
      <c r="AR81" s="80"/>
      <c r="AS81" s="80"/>
      <c r="AT81" s="80"/>
      <c r="AU81" s="80"/>
      <c r="AV81" s="80"/>
      <c r="AW81" s="80"/>
      <c r="AX81" s="80"/>
      <c r="AY81" s="80"/>
      <c r="AZ81" s="80"/>
      <c r="BA81" s="80"/>
      <c r="BB81" s="80"/>
      <c r="BC81" s="80"/>
      <c r="BD81" s="80"/>
      <c r="BE81" s="80"/>
      <c r="BF81" s="80"/>
      <c r="BG81" s="80"/>
      <c r="BH81" s="80"/>
      <c r="BI81" s="80"/>
      <c r="BJ81" s="81"/>
      <c r="BK81" s="19"/>
      <c r="BM81" s="29" t="str">
        <f t="shared" si="5"/>
        <v/>
      </c>
    </row>
    <row r="82" spans="2:65" ht="25" customHeight="1" x14ac:dyDescent="0.2">
      <c r="B82" s="18">
        <f>COUNTA(C82:BJ82)</f>
        <v>3</v>
      </c>
      <c r="C82" s="62" t="s">
        <v>89</v>
      </c>
      <c r="D82" s="63"/>
      <c r="E82" s="63"/>
      <c r="F82" s="63"/>
      <c r="G82" s="63"/>
      <c r="H82" s="63"/>
      <c r="I82" s="63"/>
      <c r="J82" s="63"/>
      <c r="K82" s="63"/>
      <c r="L82" s="63"/>
      <c r="M82" s="63"/>
      <c r="N82" s="63"/>
      <c r="O82" s="63"/>
      <c r="P82" s="63"/>
      <c r="Q82" s="63"/>
      <c r="R82" s="63"/>
      <c r="S82" s="94">
        <v>5</v>
      </c>
      <c r="T82" s="95"/>
      <c r="U82" s="95"/>
      <c r="V82" s="95"/>
      <c r="W82" s="95"/>
      <c r="X82" s="95"/>
      <c r="Y82" s="95"/>
      <c r="Z82" s="96"/>
      <c r="AA82" s="100" t="s">
        <v>265</v>
      </c>
      <c r="AB82" s="100"/>
      <c r="AC82" s="100"/>
      <c r="AD82" s="100"/>
      <c r="AE82" s="82"/>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4"/>
      <c r="BK82" s="19"/>
      <c r="BM82" s="29" t="str">
        <f t="shared" si="5"/>
        <v/>
      </c>
    </row>
    <row r="83" spans="2:65" ht="25" customHeight="1" x14ac:dyDescent="0.2">
      <c r="B83" s="18">
        <f>COUNTA(C83:Z83)+COUNTA(AE83:BJ83)</f>
        <v>1</v>
      </c>
      <c r="C83" s="101" t="s">
        <v>90</v>
      </c>
      <c r="D83" s="102"/>
      <c r="E83" s="102"/>
      <c r="F83" s="102"/>
      <c r="G83" s="102"/>
      <c r="H83" s="102"/>
      <c r="I83" s="102"/>
      <c r="J83" s="102"/>
      <c r="K83" s="102"/>
      <c r="L83" s="102"/>
      <c r="M83" s="102"/>
      <c r="N83" s="102"/>
      <c r="O83" s="102"/>
      <c r="P83" s="102"/>
      <c r="Q83" s="102"/>
      <c r="R83" s="102"/>
      <c r="S83" s="97"/>
      <c r="T83" s="98"/>
      <c r="U83" s="98"/>
      <c r="V83" s="98"/>
      <c r="W83" s="98"/>
      <c r="X83" s="98"/>
      <c r="Y83" s="98"/>
      <c r="Z83" s="99"/>
      <c r="AA83" s="103"/>
      <c r="AB83" s="103"/>
      <c r="AC83" s="103"/>
      <c r="AD83" s="103"/>
      <c r="AE83" s="85"/>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7"/>
      <c r="BK83" s="19"/>
      <c r="BM83" s="29" t="str">
        <f t="shared" si="5"/>
        <v/>
      </c>
    </row>
    <row r="84" spans="2:65" ht="25" customHeight="1" x14ac:dyDescent="0.2">
      <c r="C84" s="71" t="s">
        <v>52</v>
      </c>
      <c r="D84" s="72"/>
      <c r="E84" s="72"/>
      <c r="F84" s="72"/>
      <c r="G84" s="72"/>
      <c r="H84" s="72"/>
      <c r="I84" s="72"/>
      <c r="J84" s="72"/>
      <c r="K84" s="72"/>
      <c r="L84" s="72"/>
      <c r="M84" s="72"/>
      <c r="N84" s="72"/>
      <c r="O84" s="72"/>
      <c r="P84" s="72"/>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72"/>
      <c r="AZ84" s="72"/>
      <c r="BA84" s="72"/>
      <c r="BB84" s="72"/>
      <c r="BC84" s="72"/>
      <c r="BD84" s="72"/>
      <c r="BE84" s="72"/>
      <c r="BF84" s="73"/>
      <c r="BG84" s="74" t="s">
        <v>53</v>
      </c>
      <c r="BH84" s="75"/>
      <c r="BI84" s="74" t="s">
        <v>54</v>
      </c>
      <c r="BJ84" s="75"/>
      <c r="BM84" s="29">
        <v>1</v>
      </c>
    </row>
    <row r="85" spans="2:65" ht="25" customHeight="1" x14ac:dyDescent="0.2">
      <c r="C85" s="3"/>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BM85" s="29" t="str">
        <f t="shared" si="5"/>
        <v/>
      </c>
    </row>
    <row r="86" spans="2:65" ht="16" thickBot="1" x14ac:dyDescent="0.25">
      <c r="C86" s="22" t="s">
        <v>91</v>
      </c>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M86" s="29" t="str">
        <f>IF($BI$87="No",1,"")</f>
        <v/>
      </c>
    </row>
    <row r="87" spans="2:65" x14ac:dyDescent="0.2">
      <c r="C87" s="26"/>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8" t="s">
        <v>61</v>
      </c>
      <c r="BI87" s="114" t="s">
        <v>62</v>
      </c>
      <c r="BJ87" s="114"/>
      <c r="BM87" s="29">
        <v>1</v>
      </c>
    </row>
    <row r="88" spans="2:65" ht="15" customHeight="1" x14ac:dyDescent="0.2">
      <c r="C88" s="3"/>
      <c r="D88" s="21"/>
      <c r="E88" s="21"/>
      <c r="F88" s="3"/>
      <c r="G88" s="21"/>
      <c r="H88" s="21"/>
      <c r="I88" s="3"/>
      <c r="J88" s="21"/>
      <c r="K88" s="21"/>
      <c r="L88" s="3"/>
      <c r="M88" s="21"/>
      <c r="N88" s="21"/>
      <c r="O88" s="3"/>
      <c r="P88" s="21"/>
      <c r="Q88" s="21"/>
      <c r="R88" s="3"/>
      <c r="S88" s="21"/>
      <c r="T88" s="21"/>
      <c r="U88" s="3"/>
      <c r="V88" s="21"/>
      <c r="W88" s="21"/>
      <c r="X88" s="3"/>
      <c r="Y88" s="21"/>
      <c r="Z88" s="21"/>
      <c r="AA88" s="3"/>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M88" s="29" t="str">
        <f>IF($BI$87="No",1,"")</f>
        <v/>
      </c>
    </row>
    <row r="89" spans="2:65" ht="63" customHeight="1" x14ac:dyDescent="0.2">
      <c r="B89" s="18">
        <f>COUNTA(C89:BJ89)</f>
        <v>1</v>
      </c>
      <c r="C89" s="82" t="s">
        <v>291</v>
      </c>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4"/>
      <c r="BM89" s="29" t="str">
        <f>IF($BI$87="No",1,"")</f>
        <v/>
      </c>
    </row>
    <row r="90" spans="2:65" ht="25" customHeight="1" x14ac:dyDescent="0.2">
      <c r="B90" s="18">
        <f>COUNTA(C90:BJ90)</f>
        <v>0</v>
      </c>
      <c r="C90" s="57"/>
      <c r="D90" s="64"/>
      <c r="E90" s="64"/>
      <c r="F90" s="64"/>
      <c r="G90" s="64"/>
      <c r="H90" s="64"/>
      <c r="I90" s="64"/>
      <c r="J90" s="64"/>
      <c r="K90" s="64"/>
      <c r="L90" s="64"/>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59"/>
      <c r="BM90" s="29" t="str">
        <f>IF($BI$87="No",1,"")</f>
        <v/>
      </c>
    </row>
    <row r="91" spans="2:65" ht="25" customHeight="1" x14ac:dyDescent="0.2">
      <c r="B91" s="18">
        <f>COUNTA(C91:BJ91)</f>
        <v>0</v>
      </c>
      <c r="C91" s="65"/>
      <c r="D91" s="55"/>
      <c r="E91" s="55"/>
      <c r="F91" s="55"/>
      <c r="G91" s="55"/>
      <c r="H91" s="55"/>
      <c r="I91" s="55"/>
      <c r="J91" s="55"/>
      <c r="K91" s="55"/>
      <c r="L91" s="55"/>
      <c r="M91" s="55"/>
      <c r="N91" s="55"/>
      <c r="O91" s="55"/>
      <c r="P91" s="55"/>
      <c r="Q91" s="55"/>
      <c r="R91" s="55"/>
      <c r="S91" s="55"/>
      <c r="T91" s="55"/>
      <c r="U91" s="55"/>
      <c r="V91" s="55"/>
      <c r="W91" s="55"/>
      <c r="X91" s="55"/>
      <c r="Y91" s="55"/>
      <c r="Z91" s="55"/>
      <c r="AA91" s="55"/>
      <c r="AB91" s="55"/>
      <c r="AC91" s="55"/>
      <c r="AD91" s="55"/>
      <c r="AE91" s="55"/>
      <c r="AF91" s="55"/>
      <c r="AG91" s="55"/>
      <c r="AH91" s="55"/>
      <c r="AI91" s="55"/>
      <c r="AJ91" s="55"/>
      <c r="AK91" s="55"/>
      <c r="AL91" s="55"/>
      <c r="AM91" s="55"/>
      <c r="AN91" s="55"/>
      <c r="AO91" s="55"/>
      <c r="AP91" s="55"/>
      <c r="AQ91" s="55"/>
      <c r="AR91" s="55"/>
      <c r="AS91" s="55"/>
      <c r="AT91" s="55"/>
      <c r="AU91" s="55"/>
      <c r="AV91" s="55"/>
      <c r="AW91" s="55"/>
      <c r="AX91" s="55"/>
      <c r="AY91" s="55"/>
      <c r="AZ91" s="55"/>
      <c r="BA91" s="55"/>
      <c r="BB91" s="55"/>
      <c r="BC91" s="55"/>
      <c r="BD91" s="55"/>
      <c r="BE91" s="55"/>
      <c r="BF91" s="55"/>
      <c r="BG91" s="55"/>
      <c r="BH91" s="55"/>
      <c r="BI91" s="55"/>
      <c r="BJ91" s="66"/>
      <c r="BK91" s="19"/>
      <c r="BM91" s="29" t="str">
        <f>IF($BI$87="No",1,"")</f>
        <v/>
      </c>
    </row>
    <row r="92" spans="2:65" ht="25" customHeight="1" x14ac:dyDescent="0.2">
      <c r="C92" s="71" t="s">
        <v>52</v>
      </c>
      <c r="D92" s="72"/>
      <c r="E92" s="72"/>
      <c r="F92" s="72"/>
      <c r="G92" s="72"/>
      <c r="H92" s="72"/>
      <c r="I92" s="72"/>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72"/>
      <c r="AZ92" s="72"/>
      <c r="BA92" s="72"/>
      <c r="BB92" s="72"/>
      <c r="BC92" s="72"/>
      <c r="BD92" s="72"/>
      <c r="BE92" s="72"/>
      <c r="BF92" s="73"/>
      <c r="BG92" s="74" t="s">
        <v>53</v>
      </c>
      <c r="BH92" s="75"/>
      <c r="BI92" s="74" t="s">
        <v>54</v>
      </c>
      <c r="BJ92" s="75"/>
      <c r="BM92" s="29">
        <v>1</v>
      </c>
    </row>
    <row r="93" spans="2:65" ht="25" customHeight="1" x14ac:dyDescent="0.2">
      <c r="C93" s="3"/>
      <c r="D93" s="21"/>
      <c r="E93" s="21"/>
      <c r="F93" s="21"/>
      <c r="G93" s="3"/>
      <c r="H93" s="21"/>
      <c r="I93" s="21"/>
      <c r="J93" s="21"/>
      <c r="K93" s="3"/>
      <c r="L93" s="21"/>
      <c r="M93" s="21"/>
      <c r="N93" s="21"/>
      <c r="O93" s="3"/>
      <c r="P93" s="21"/>
      <c r="Q93" s="21"/>
      <c r="R93" s="21"/>
      <c r="S93" s="3"/>
      <c r="T93" s="21"/>
      <c r="U93" s="21"/>
      <c r="V93" s="21"/>
      <c r="W93" s="3"/>
      <c r="X93" s="21"/>
      <c r="Y93" s="21"/>
      <c r="Z93" s="21"/>
      <c r="AA93" s="3"/>
      <c r="AB93" s="21"/>
      <c r="AC93" s="21"/>
      <c r="AD93" s="21"/>
      <c r="AE93" s="3"/>
      <c r="AF93" s="21"/>
      <c r="AG93" s="21"/>
      <c r="AH93" s="21"/>
      <c r="AI93" s="21"/>
      <c r="AJ93" s="21"/>
      <c r="AK93" s="21"/>
      <c r="AL93" s="21"/>
      <c r="AM93" s="21"/>
      <c r="AN93" s="21"/>
      <c r="BM93" s="29" t="str">
        <f>IF($BI$87="No",1,"")</f>
        <v/>
      </c>
    </row>
    <row r="94" spans="2:65" ht="16" thickBot="1" x14ac:dyDescent="0.25">
      <c r="C94" s="22" t="s">
        <v>92</v>
      </c>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M94" s="29">
        <v>1</v>
      </c>
    </row>
    <row r="95" spans="2:65" x14ac:dyDescent="0.2">
      <c r="U95" s="33"/>
      <c r="V95" s="33"/>
      <c r="W95" s="33"/>
      <c r="X95" s="33"/>
      <c r="Y95" s="33"/>
      <c r="Z95" s="33"/>
      <c r="AA95" s="33"/>
      <c r="BM95" s="29">
        <v>1</v>
      </c>
    </row>
    <row r="96" spans="2:65" ht="30.75" customHeight="1" x14ac:dyDescent="0.2">
      <c r="C96" s="115" t="s">
        <v>93</v>
      </c>
      <c r="D96" s="116"/>
      <c r="E96" s="116"/>
      <c r="F96" s="116"/>
      <c r="G96" s="116"/>
      <c r="H96" s="116"/>
      <c r="I96" s="116"/>
      <c r="J96" s="116"/>
      <c r="K96" s="116"/>
      <c r="L96" s="117"/>
      <c r="O96" s="30"/>
      <c r="P96" s="30"/>
      <c r="Q96" s="30"/>
      <c r="R96" s="30"/>
      <c r="S96" s="30"/>
      <c r="T96" s="30"/>
      <c r="U96" s="33"/>
      <c r="V96" s="33"/>
      <c r="W96" s="33"/>
      <c r="X96" s="33"/>
      <c r="Y96" s="142" t="s">
        <v>94</v>
      </c>
      <c r="Z96" s="142"/>
      <c r="AA96" s="142"/>
      <c r="AB96" s="142"/>
      <c r="AC96" s="142"/>
      <c r="AD96" s="142"/>
      <c r="AE96" s="142"/>
      <c r="AF96" s="142"/>
      <c r="AG96" s="142"/>
      <c r="AH96" s="142"/>
      <c r="AI96" s="142"/>
      <c r="AJ96" s="142"/>
      <c r="AK96" s="142"/>
      <c r="AL96" s="142"/>
      <c r="AM96" s="142"/>
      <c r="AN96" s="142"/>
      <c r="AO96" s="142"/>
      <c r="AP96" s="142"/>
      <c r="AQ96" s="142"/>
      <c r="AR96" s="142"/>
      <c r="AS96" s="142"/>
      <c r="AT96" s="142"/>
      <c r="AU96" s="142"/>
      <c r="AV96" s="142"/>
      <c r="AW96" s="142"/>
      <c r="AX96" s="142"/>
      <c r="AY96" s="142"/>
      <c r="AZ96" s="142"/>
      <c r="BA96" s="142"/>
      <c r="BB96" s="142"/>
      <c r="BC96" s="142"/>
      <c r="BD96" s="142"/>
      <c r="BE96" s="142"/>
      <c r="BF96" s="142"/>
      <c r="BG96" s="142"/>
      <c r="BH96" s="142"/>
      <c r="BI96" s="142"/>
      <c r="BJ96" s="142"/>
      <c r="BM96" s="29">
        <v>1</v>
      </c>
    </row>
    <row r="97" spans="3:65" ht="14.25" customHeight="1" x14ac:dyDescent="0.2">
      <c r="O97" s="30"/>
      <c r="P97" s="30"/>
      <c r="Q97" s="30"/>
      <c r="R97" s="30"/>
      <c r="S97" s="30"/>
      <c r="T97" s="30"/>
      <c r="U97" s="33"/>
      <c r="V97" s="33"/>
      <c r="W97" s="33"/>
      <c r="X97" s="33"/>
      <c r="Y97" s="33"/>
      <c r="Z97" s="33"/>
      <c r="AA97" s="33"/>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M97" s="29">
        <v>1</v>
      </c>
    </row>
    <row r="98" spans="3:65" x14ac:dyDescent="0.2">
      <c r="U98" s="33"/>
      <c r="V98" s="33"/>
      <c r="W98" s="33"/>
      <c r="X98" s="33"/>
      <c r="Y98" s="33"/>
      <c r="Z98" s="33"/>
      <c r="AA98" s="33"/>
      <c r="BM98" s="29">
        <v>1</v>
      </c>
    </row>
    <row r="99" spans="3:65" ht="16" thickBot="1" x14ac:dyDescent="0.25">
      <c r="C99" s="22" t="s">
        <v>95</v>
      </c>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M99" s="29">
        <v>1</v>
      </c>
    </row>
    <row r="100" spans="3:65" x14ac:dyDescent="0.2">
      <c r="BM100" s="29">
        <v>1</v>
      </c>
    </row>
    <row r="101" spans="3:65" x14ac:dyDescent="0.2">
      <c r="K101" s="33"/>
      <c r="L101" s="33"/>
      <c r="M101" s="33"/>
      <c r="N101" s="142" t="s">
        <v>96</v>
      </c>
      <c r="O101" s="142"/>
      <c r="P101" s="142"/>
      <c r="Q101" s="142"/>
      <c r="R101" s="142"/>
      <c r="S101" s="142"/>
      <c r="T101" s="142"/>
      <c r="U101" s="142"/>
      <c r="V101" s="142"/>
      <c r="W101" s="142"/>
      <c r="X101" s="142"/>
      <c r="Y101" s="142"/>
      <c r="Z101" s="142"/>
      <c r="AA101" s="142"/>
      <c r="AB101" s="142"/>
      <c r="AC101" s="142"/>
      <c r="AD101" s="142"/>
      <c r="AE101" s="142"/>
      <c r="AF101" s="142"/>
      <c r="AG101" s="142"/>
      <c r="AH101" s="142"/>
      <c r="AI101" s="142"/>
      <c r="AJ101" s="142"/>
      <c r="AK101" s="142"/>
      <c r="AL101" s="142"/>
      <c r="AM101" s="142"/>
      <c r="AN101" s="142"/>
      <c r="AO101" s="142"/>
      <c r="AP101" s="142"/>
      <c r="AQ101" s="142"/>
      <c r="AR101" s="142"/>
      <c r="AS101" s="142"/>
      <c r="AT101" s="142"/>
      <c r="AU101" s="142"/>
      <c r="AV101" s="142"/>
      <c r="AW101" s="142"/>
      <c r="AX101" s="142"/>
      <c r="AY101" s="142"/>
      <c r="AZ101" s="142"/>
      <c r="BA101" s="142"/>
      <c r="BB101" s="142"/>
      <c r="BC101" s="142"/>
      <c r="BD101" s="142"/>
      <c r="BE101" s="142"/>
      <c r="BF101" s="142"/>
      <c r="BG101" s="142"/>
      <c r="BH101" s="142"/>
      <c r="BI101" s="142"/>
      <c r="BJ101" s="142"/>
      <c r="BM101" s="29">
        <v>1</v>
      </c>
    </row>
    <row r="102" spans="3:65" x14ac:dyDescent="0.2">
      <c r="K102" s="33"/>
      <c r="L102" s="33"/>
      <c r="M102" s="33"/>
      <c r="N102" s="142"/>
      <c r="O102" s="142"/>
      <c r="P102" s="142"/>
      <c r="Q102" s="142"/>
      <c r="R102" s="142"/>
      <c r="S102" s="142"/>
      <c r="T102" s="142"/>
      <c r="U102" s="142"/>
      <c r="V102" s="142"/>
      <c r="W102" s="142"/>
      <c r="X102" s="142"/>
      <c r="Y102" s="142"/>
      <c r="Z102" s="142"/>
      <c r="AA102" s="142"/>
      <c r="AB102" s="142"/>
      <c r="AC102" s="142"/>
      <c r="AD102" s="142"/>
      <c r="AE102" s="142"/>
      <c r="AF102" s="142"/>
      <c r="AG102" s="142"/>
      <c r="AH102" s="142"/>
      <c r="AI102" s="142"/>
      <c r="AJ102" s="142"/>
      <c r="AK102" s="142"/>
      <c r="AL102" s="142"/>
      <c r="AM102" s="142"/>
      <c r="AN102" s="142"/>
      <c r="AO102" s="142"/>
      <c r="AP102" s="142"/>
      <c r="AQ102" s="142"/>
      <c r="AR102" s="142"/>
      <c r="AS102" s="142"/>
      <c r="AT102" s="142"/>
      <c r="AU102" s="142"/>
      <c r="AV102" s="142"/>
      <c r="AW102" s="142"/>
      <c r="AX102" s="142"/>
      <c r="AY102" s="142"/>
      <c r="AZ102" s="142"/>
      <c r="BA102" s="142"/>
      <c r="BB102" s="142"/>
      <c r="BC102" s="142"/>
      <c r="BD102" s="142"/>
      <c r="BE102" s="142"/>
      <c r="BF102" s="142"/>
      <c r="BG102" s="142"/>
      <c r="BH102" s="142"/>
      <c r="BI102" s="142"/>
      <c r="BJ102" s="142"/>
      <c r="BM102" s="29">
        <v>1</v>
      </c>
    </row>
    <row r="103" spans="3:65" x14ac:dyDescent="0.2">
      <c r="BM103" s="29">
        <v>1</v>
      </c>
    </row>
    <row r="104" spans="3:65" ht="30" customHeight="1" x14ac:dyDescent="0.2">
      <c r="C104" s="140" t="s">
        <v>97</v>
      </c>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M104" s="29"/>
    </row>
    <row r="105" spans="3:65" ht="30" customHeight="1" x14ac:dyDescent="0.2">
      <c r="C105" s="141" t="str">
        <f>"versión "&amp;Parametros!A1&amp;"   -   CONFIDENCIAL"</f>
        <v>versión 1.5   -   CONFIDENCIAL</v>
      </c>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141"/>
      <c r="AK105" s="141"/>
      <c r="AL105" s="141"/>
      <c r="AM105" s="141"/>
      <c r="AN105" s="141"/>
      <c r="AO105" s="141"/>
      <c r="AP105" s="141"/>
      <c r="AQ105" s="141"/>
      <c r="AR105" s="141"/>
      <c r="AS105" s="141"/>
      <c r="AT105" s="141"/>
      <c r="AU105" s="141"/>
      <c r="AV105" s="141"/>
      <c r="AW105" s="141"/>
      <c r="AX105" s="141"/>
      <c r="AY105" s="141"/>
      <c r="AZ105" s="141"/>
      <c r="BA105" s="141"/>
      <c r="BB105" s="141"/>
      <c r="BC105" s="141"/>
      <c r="BD105" s="141"/>
      <c r="BE105" s="141"/>
      <c r="BF105" s="141"/>
      <c r="BM105" s="29"/>
    </row>
    <row r="106" spans="3:65" ht="30" customHeight="1" x14ac:dyDescent="0.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M106" s="29"/>
    </row>
  </sheetData>
  <sheetProtection algorithmName="SHA-512" hashValue="/QXUVwwnBvIJi2sf/IasCPUJfpkxa29g4cm6/i8z59DEbWpREMhYnkJNzgCCNZZePEcUHyvGWYv9fIt3A9b8RQ==" saltValue="bDKBbbLs8BUOOvCxW9BPHA==" spinCount="100000" sheet="1" objects="1" scenarios="1" formatCells="0" formatRows="0" insertHyperlinks="0" autoFilter="0"/>
  <dataConsolidate/>
  <mergeCells count="175">
    <mergeCell ref="C104:BF104"/>
    <mergeCell ref="C105:BF105"/>
    <mergeCell ref="Y96:BJ96"/>
    <mergeCell ref="N101:BJ102"/>
    <mergeCell ref="P3:BJ6"/>
    <mergeCell ref="C3:O6"/>
    <mergeCell ref="BI72:BJ72"/>
    <mergeCell ref="O18:BJ18"/>
    <mergeCell ref="O19:BJ19"/>
    <mergeCell ref="C20:BF20"/>
    <mergeCell ref="BG20:BH20"/>
    <mergeCell ref="BI20:BJ20"/>
    <mergeCell ref="C17:N17"/>
    <mergeCell ref="C18:N18"/>
    <mergeCell ref="C19:N19"/>
    <mergeCell ref="O17:BJ17"/>
    <mergeCell ref="AA32:AD32"/>
    <mergeCell ref="C69:BF69"/>
    <mergeCell ref="BI31:BJ31"/>
    <mergeCell ref="C33:R33"/>
    <mergeCell ref="S33:V33"/>
    <mergeCell ref="C8:G8"/>
    <mergeCell ref="C16:N16"/>
    <mergeCell ref="O16:BJ16"/>
    <mergeCell ref="C10:G10"/>
    <mergeCell ref="H10:L10"/>
    <mergeCell ref="M10:Q10"/>
    <mergeCell ref="H9:L9"/>
    <mergeCell ref="AV10:BJ10"/>
    <mergeCell ref="C11:G11"/>
    <mergeCell ref="H11:L11"/>
    <mergeCell ref="M11:Q11"/>
    <mergeCell ref="AG10:AU10"/>
    <mergeCell ref="R10:AF10"/>
    <mergeCell ref="R11:AF11"/>
    <mergeCell ref="R8:AF8"/>
    <mergeCell ref="AG8:AU8"/>
    <mergeCell ref="AV8:BJ8"/>
    <mergeCell ref="C9:G9"/>
    <mergeCell ref="H8:L8"/>
    <mergeCell ref="M8:Q8"/>
    <mergeCell ref="R9:AF9"/>
    <mergeCell ref="AG9:AU9"/>
    <mergeCell ref="AV9:BJ9"/>
    <mergeCell ref="M9:Q9"/>
    <mergeCell ref="BG49:BH49"/>
    <mergeCell ref="BI49:BJ49"/>
    <mergeCell ref="BI45:BJ45"/>
    <mergeCell ref="C47:AA47"/>
    <mergeCell ref="AB47:AF47"/>
    <mergeCell ref="AG47:AK47"/>
    <mergeCell ref="AL47:BJ47"/>
    <mergeCell ref="C28:BF28"/>
    <mergeCell ref="C37:R37"/>
    <mergeCell ref="S37:V37"/>
    <mergeCell ref="W37:Z37"/>
    <mergeCell ref="AA36:AD36"/>
    <mergeCell ref="AE36:AT36"/>
    <mergeCell ref="AU36:BJ36"/>
    <mergeCell ref="W33:Z33"/>
    <mergeCell ref="S38:V38"/>
    <mergeCell ref="W38:Z38"/>
    <mergeCell ref="AA38:AD38"/>
    <mergeCell ref="C34:R34"/>
    <mergeCell ref="AG11:AU11"/>
    <mergeCell ref="AV11:BJ11"/>
    <mergeCell ref="AE38:AT38"/>
    <mergeCell ref="AU38:BJ38"/>
    <mergeCell ref="AA35:AD35"/>
    <mergeCell ref="AE35:AT35"/>
    <mergeCell ref="AU35:BJ35"/>
    <mergeCell ref="S36:V36"/>
    <mergeCell ref="W36:Z36"/>
    <mergeCell ref="AA33:AD33"/>
    <mergeCell ref="AE33:AT33"/>
    <mergeCell ref="AU33:BJ33"/>
    <mergeCell ref="S34:V34"/>
    <mergeCell ref="AU34:BJ34"/>
    <mergeCell ref="C25:BJ25"/>
    <mergeCell ref="BI23:BJ23"/>
    <mergeCell ref="BG28:BH28"/>
    <mergeCell ref="BI28:BJ28"/>
    <mergeCell ref="C12:BF12"/>
    <mergeCell ref="BG12:BH12"/>
    <mergeCell ref="BI12:BJ12"/>
    <mergeCell ref="C96:L96"/>
    <mergeCell ref="C48:AA48"/>
    <mergeCell ref="AB48:AF48"/>
    <mergeCell ref="AG48:AK48"/>
    <mergeCell ref="AL48:BJ48"/>
    <mergeCell ref="C89:BJ89"/>
    <mergeCell ref="BI87:BJ87"/>
    <mergeCell ref="BG92:BH92"/>
    <mergeCell ref="BI92:BJ92"/>
    <mergeCell ref="C92:BF92"/>
    <mergeCell ref="C90:BJ90"/>
    <mergeCell ref="C91:BJ91"/>
    <mergeCell ref="BG77:BH77"/>
    <mergeCell ref="BI77:BJ77"/>
    <mergeCell ref="C77:BF77"/>
    <mergeCell ref="C74:BJ74"/>
    <mergeCell ref="C75:BJ75"/>
    <mergeCell ref="C76:BJ76"/>
    <mergeCell ref="C54:BJ54"/>
    <mergeCell ref="C55:BJ55"/>
    <mergeCell ref="BI69:BJ69"/>
    <mergeCell ref="BG69:BH69"/>
    <mergeCell ref="BG61:BH61"/>
    <mergeCell ref="AA79:AD79"/>
    <mergeCell ref="S79:Z79"/>
    <mergeCell ref="W34:Z34"/>
    <mergeCell ref="AA34:AD34"/>
    <mergeCell ref="AE34:AT34"/>
    <mergeCell ref="S35:V35"/>
    <mergeCell ref="W35:Z35"/>
    <mergeCell ref="C68:BJ68"/>
    <mergeCell ref="C35:R35"/>
    <mergeCell ref="C36:R36"/>
    <mergeCell ref="BG42:BH42"/>
    <mergeCell ref="BI42:BJ42"/>
    <mergeCell ref="AA37:AD37"/>
    <mergeCell ref="AE37:AT37"/>
    <mergeCell ref="AU37:BJ37"/>
    <mergeCell ref="C42:BF42"/>
    <mergeCell ref="C56:BJ56"/>
    <mergeCell ref="C66:BJ66"/>
    <mergeCell ref="C67:BJ67"/>
    <mergeCell ref="BI64:BJ64"/>
    <mergeCell ref="BI52:BJ52"/>
    <mergeCell ref="C38:R38"/>
    <mergeCell ref="C61:BF61"/>
    <mergeCell ref="BI61:BJ61"/>
    <mergeCell ref="C59:BJ59"/>
    <mergeCell ref="C84:BF84"/>
    <mergeCell ref="BG84:BH84"/>
    <mergeCell ref="BI84:BJ84"/>
    <mergeCell ref="AE80:BJ80"/>
    <mergeCell ref="AE81:BJ81"/>
    <mergeCell ref="AE82:BJ82"/>
    <mergeCell ref="AE83:BJ83"/>
    <mergeCell ref="S80:Z80"/>
    <mergeCell ref="S81:Z81"/>
    <mergeCell ref="S82:Z82"/>
    <mergeCell ref="S83:Z83"/>
    <mergeCell ref="C82:R82"/>
    <mergeCell ref="AA82:AD82"/>
    <mergeCell ref="C83:R83"/>
    <mergeCell ref="AA83:AD83"/>
    <mergeCell ref="C80:R80"/>
    <mergeCell ref="AA80:AD80"/>
    <mergeCell ref="C81:R81"/>
    <mergeCell ref="AA81:AD81"/>
    <mergeCell ref="C60:BJ60"/>
    <mergeCell ref="C57:BJ57"/>
    <mergeCell ref="C58:BJ58"/>
    <mergeCell ref="AU41:BJ41"/>
    <mergeCell ref="C26:BJ26"/>
    <mergeCell ref="C39:R39"/>
    <mergeCell ref="S39:V39"/>
    <mergeCell ref="W39:Z39"/>
    <mergeCell ref="AA39:AD39"/>
    <mergeCell ref="AE39:AT39"/>
    <mergeCell ref="AU39:BJ39"/>
    <mergeCell ref="C40:R40"/>
    <mergeCell ref="S40:V40"/>
    <mergeCell ref="W40:Z40"/>
    <mergeCell ref="AA40:AD40"/>
    <mergeCell ref="AE40:AT40"/>
    <mergeCell ref="AU40:BJ40"/>
    <mergeCell ref="C41:R41"/>
    <mergeCell ref="S41:V41"/>
    <mergeCell ref="W41:Z41"/>
    <mergeCell ref="AA41:AD41"/>
    <mergeCell ref="AE41:AT41"/>
    <mergeCell ref="C49:BF49"/>
  </mergeCells>
  <dataValidations count="11">
    <dataValidation type="list" allowBlank="1" showInputMessage="1" showErrorMessage="1" sqref="BI23:BJ23 BI52:BJ52 BI64:BJ64 BI72:BJ72 BI31:BJ31 BI87:BJ87 BI45:BJ45 AB48:AK48" xr:uid="{00000000-0002-0000-0100-000000000000}">
      <formula1>SiNo</formula1>
    </dataValidation>
    <dataValidation type="list" allowBlank="1" showInputMessage="1" showErrorMessage="1" sqref="N19" xr:uid="{00000000-0002-0000-0100-000001000000}">
      <formula1>TipoProyecto</formula1>
    </dataValidation>
    <dataValidation allowBlank="1" showInputMessage="1" showErrorMessage="1" prompt="¿Cual sería el impacto en el proyecto si se presenta un evento de los listados a continuacion?_x000a_Valores permitidos 1, 2 y 3. donde 3 representa el impacto mayor y 1 el impacto menor" sqref="S33:V33 S80" xr:uid="{00000000-0002-0000-0100-000002000000}"/>
    <dataValidation allowBlank="1" showInputMessage="1" showErrorMessage="1" prompt="¿Cual es la posibilidad de que se presente el evento? _x000a_Valores permitidos 1, 2 y 3. donde 3 representa la posibilidad mayor y 1 la posibilidad menor" sqref="W33:Z33" xr:uid="{00000000-0002-0000-0100-000003000000}"/>
    <dataValidation type="date" allowBlank="1" showInputMessage="1" showErrorMessage="1" prompt="Formato entrada: _x000a_dd/mmm/yyyy_x000a__x000a_Ejemplo:_x000a_18/abr/2017" sqref="M9:Q11" xr:uid="{00000000-0002-0000-0100-000004000000}">
      <formula1>1</formula1>
      <formula2>401769</formula2>
    </dataValidation>
    <dataValidation type="list" allowBlank="1" showInputMessage="1" showErrorMessage="1" sqref="H9:L11" xr:uid="{00000000-0002-0000-0100-000005000000}">
      <formula1>Accion</formula1>
    </dataValidation>
    <dataValidation type="list" allowBlank="1" showInputMessage="1" showErrorMessage="1" sqref="C48:AA48" xr:uid="{00000000-0002-0000-0100-000006000000}">
      <formula1>Producto</formula1>
    </dataValidation>
    <dataValidation type="whole" allowBlank="1" showInputMessage="1" showErrorMessage="1" errorTitle="Error" error="Solo se permite el ingreso de los siguientes valores: 1, 2 ó 3." sqref="S34:Z41" xr:uid="{00000000-0002-0000-0100-000007000000}">
      <formula1>1</formula1>
      <formula2>3</formula2>
    </dataValidation>
    <dataValidation type="list" allowBlank="1" showInputMessage="1" showErrorMessage="1" sqref="C96:L96" xr:uid="{00000000-0002-0000-0100-000008000000}">
      <formula1>Operacion</formula1>
    </dataValidation>
    <dataValidation type="decimal" allowBlank="1" showInputMessage="1" showErrorMessage="1" errorTitle="Error" error="Solo se permite el ingreso de valores numéricos" sqref="S81:Z83" xr:uid="{00000000-0002-0000-0100-000009000000}">
      <formula1>0</formula1>
      <formula2>10000000</formula2>
    </dataValidation>
    <dataValidation type="list" allowBlank="1" showInputMessage="1" showErrorMessage="1" sqref="AA81:AD83" xr:uid="{00000000-0002-0000-0100-00000A000000}">
      <formula1>Unidad</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rtaTerminacion"/>
  <dimension ref="A1:XFC72"/>
  <sheetViews>
    <sheetView showGridLines="0" zoomScaleNormal="100" workbookViewId="0">
      <selection activeCell="C11" sqref="C11:G11"/>
    </sheetView>
  </sheetViews>
  <sheetFormatPr baseColWidth="10" defaultColWidth="0" defaultRowHeight="15" x14ac:dyDescent="0.2"/>
  <cols>
    <col min="1" max="63" width="2.6640625" customWidth="1"/>
    <col min="64" max="64" width="2.5" customWidth="1"/>
    <col min="65" max="16383" width="2.5" hidden="1"/>
    <col min="16384" max="16384" width="5.5" hidden="1"/>
  </cols>
  <sheetData>
    <row r="1" spans="1:66" x14ac:dyDescent="0.2">
      <c r="BM1" s="31"/>
      <c r="BN1" s="44">
        <f>ROW(PlanPruebas!BZ89)</f>
        <v>89</v>
      </c>
    </row>
    <row r="2" spans="1:66"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29"/>
      <c r="BN2" s="44">
        <f>ROW(PlanPruebas!BM78)</f>
        <v>78</v>
      </c>
    </row>
    <row r="3" spans="1:66" ht="15" customHeight="1" x14ac:dyDescent="0.2">
      <c r="C3" s="152"/>
      <c r="D3" s="152"/>
      <c r="E3" s="152"/>
      <c r="F3" s="152"/>
      <c r="G3" s="152"/>
      <c r="H3" s="152"/>
      <c r="I3" s="152"/>
      <c r="J3" s="152"/>
      <c r="K3" s="152"/>
      <c r="L3" s="152"/>
      <c r="M3" s="152"/>
      <c r="N3" s="152"/>
      <c r="O3" s="152"/>
      <c r="P3" s="166" t="s">
        <v>98</v>
      </c>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8"/>
      <c r="BM3" s="29"/>
    </row>
    <row r="4" spans="1:66" ht="15" customHeight="1" x14ac:dyDescent="0.2">
      <c r="C4" s="152"/>
      <c r="D4" s="152"/>
      <c r="E4" s="152"/>
      <c r="F4" s="152"/>
      <c r="G4" s="152"/>
      <c r="H4" s="152"/>
      <c r="I4" s="152"/>
      <c r="J4" s="152"/>
      <c r="K4" s="152"/>
      <c r="L4" s="152"/>
      <c r="M4" s="152"/>
      <c r="N4" s="152"/>
      <c r="O4" s="152"/>
      <c r="P4" s="169"/>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1"/>
      <c r="BM4" s="29"/>
    </row>
    <row r="5" spans="1:66" ht="15" customHeight="1" x14ac:dyDescent="0.2">
      <c r="C5" s="152"/>
      <c r="D5" s="152"/>
      <c r="E5" s="152"/>
      <c r="F5" s="152"/>
      <c r="G5" s="152"/>
      <c r="H5" s="152"/>
      <c r="I5" s="152"/>
      <c r="J5" s="152"/>
      <c r="K5" s="152"/>
      <c r="L5" s="152"/>
      <c r="M5" s="152"/>
      <c r="N5" s="152"/>
      <c r="O5" s="152"/>
      <c r="P5" s="169"/>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1"/>
      <c r="BM5" s="29"/>
    </row>
    <row r="6" spans="1:66" ht="15" customHeight="1" x14ac:dyDescent="0.2">
      <c r="C6" s="152"/>
      <c r="D6" s="152"/>
      <c r="E6" s="152"/>
      <c r="F6" s="152"/>
      <c r="G6" s="152"/>
      <c r="H6" s="152"/>
      <c r="I6" s="152"/>
      <c r="J6" s="152"/>
      <c r="K6" s="152"/>
      <c r="L6" s="152"/>
      <c r="M6" s="152"/>
      <c r="N6" s="152"/>
      <c r="O6" s="152"/>
      <c r="P6" s="172"/>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c r="AP6" s="173"/>
      <c r="AQ6" s="173"/>
      <c r="AR6" s="173"/>
      <c r="AS6" s="173"/>
      <c r="AT6" s="173"/>
      <c r="AU6" s="173"/>
      <c r="AV6" s="173"/>
      <c r="AW6" s="173"/>
      <c r="AX6" s="173"/>
      <c r="AY6" s="173"/>
      <c r="AZ6" s="173"/>
      <c r="BA6" s="173"/>
      <c r="BB6" s="173"/>
      <c r="BC6" s="173"/>
      <c r="BD6" s="173"/>
      <c r="BE6" s="173"/>
      <c r="BF6" s="173"/>
      <c r="BG6" s="173"/>
      <c r="BH6" s="173"/>
      <c r="BI6" s="173"/>
      <c r="BJ6" s="174"/>
      <c r="BM6" s="29"/>
    </row>
    <row r="7" spans="1:66" ht="25" customHeight="1" x14ac:dyDescent="0.2">
      <c r="BM7" s="29"/>
    </row>
    <row r="8" spans="1:66" ht="25" customHeight="1" x14ac:dyDescent="0.2">
      <c r="C8" s="163" t="s">
        <v>1</v>
      </c>
      <c r="D8" s="164"/>
      <c r="E8" s="164"/>
      <c r="F8" s="164"/>
      <c r="G8" s="165"/>
      <c r="H8" s="138" t="s">
        <v>47</v>
      </c>
      <c r="I8" s="138"/>
      <c r="J8" s="138"/>
      <c r="K8" s="138"/>
      <c r="L8" s="138"/>
      <c r="M8" s="138" t="s">
        <v>48</v>
      </c>
      <c r="N8" s="138"/>
      <c r="O8" s="138"/>
      <c r="P8" s="138"/>
      <c r="Q8" s="138"/>
      <c r="R8" s="138" t="s">
        <v>49</v>
      </c>
      <c r="S8" s="138"/>
      <c r="T8" s="138"/>
      <c r="U8" s="138"/>
      <c r="V8" s="138"/>
      <c r="W8" s="138"/>
      <c r="X8" s="138"/>
      <c r="Y8" s="138"/>
      <c r="Z8" s="138"/>
      <c r="AA8" s="138"/>
      <c r="AB8" s="138"/>
      <c r="AC8" s="138"/>
      <c r="AD8" s="138"/>
      <c r="AE8" s="138"/>
      <c r="AF8" s="138"/>
      <c r="AG8" s="138" t="s">
        <v>50</v>
      </c>
      <c r="AH8" s="138"/>
      <c r="AI8" s="138"/>
      <c r="AJ8" s="138"/>
      <c r="AK8" s="138"/>
      <c r="AL8" s="138"/>
      <c r="AM8" s="138"/>
      <c r="AN8" s="138"/>
      <c r="AO8" s="138"/>
      <c r="AP8" s="138"/>
      <c r="AQ8" s="138"/>
      <c r="AR8" s="138"/>
      <c r="AS8" s="138"/>
      <c r="AT8" s="138"/>
      <c r="AU8" s="138"/>
      <c r="AV8" s="138" t="s">
        <v>51</v>
      </c>
      <c r="AW8" s="138"/>
      <c r="AX8" s="138"/>
      <c r="AY8" s="138"/>
      <c r="AZ8" s="138"/>
      <c r="BA8" s="138"/>
      <c r="BB8" s="138"/>
      <c r="BC8" s="138"/>
      <c r="BD8" s="138"/>
      <c r="BE8" s="138"/>
      <c r="BF8" s="138"/>
      <c r="BG8" s="138"/>
      <c r="BH8" s="138"/>
      <c r="BI8" s="138"/>
      <c r="BJ8" s="138"/>
      <c r="BM8" s="29"/>
    </row>
    <row r="9" spans="1:66" ht="25" customHeight="1" x14ac:dyDescent="0.2">
      <c r="B9" s="18">
        <f>COUNTA(C9:BJ9)</f>
        <v>0</v>
      </c>
      <c r="C9" s="107"/>
      <c r="D9" s="107"/>
      <c r="E9" s="107"/>
      <c r="F9" s="107"/>
      <c r="G9" s="107"/>
      <c r="H9" s="107"/>
      <c r="I9" s="107"/>
      <c r="J9" s="107"/>
      <c r="K9" s="107"/>
      <c r="L9" s="107"/>
      <c r="M9" s="139"/>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M9" s="29"/>
    </row>
    <row r="10" spans="1:66" ht="25" customHeight="1" x14ac:dyDescent="0.2">
      <c r="B10" s="18">
        <f>COUNTA(C10:BJ10)</f>
        <v>0</v>
      </c>
      <c r="C10" s="107"/>
      <c r="D10" s="107"/>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M10" s="29"/>
    </row>
    <row r="11" spans="1:66" ht="25" customHeight="1" x14ac:dyDescent="0.2">
      <c r="B11" s="18">
        <f>COUNTA(C11:BJ11)</f>
        <v>0</v>
      </c>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9"/>
      <c r="BM11" s="29"/>
    </row>
    <row r="12" spans="1:66" ht="25" customHeight="1" x14ac:dyDescent="0.2">
      <c r="C12" s="131" t="s">
        <v>52</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74" t="s">
        <v>53</v>
      </c>
      <c r="BH12" s="75"/>
      <c r="BI12" s="74" t="s">
        <v>54</v>
      </c>
      <c r="BJ12" s="75"/>
      <c r="BM12" s="29">
        <v>1</v>
      </c>
    </row>
    <row r="13" spans="1:66" ht="25" customHeight="1" x14ac:dyDescent="0.2">
      <c r="C13" s="9"/>
      <c r="D13" s="9"/>
      <c r="E13" s="9"/>
      <c r="K13" s="9"/>
      <c r="L13" s="9"/>
      <c r="M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M13" s="29"/>
    </row>
    <row r="14" spans="1:66" ht="16" thickBot="1" x14ac:dyDescent="0.25">
      <c r="C14" s="22" t="s">
        <v>99</v>
      </c>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M14" s="29"/>
    </row>
    <row r="15" spans="1:66" ht="15" customHeight="1" x14ac:dyDescent="0.2">
      <c r="BM15" s="29"/>
    </row>
    <row r="16" spans="1:66" ht="25" customHeight="1" x14ac:dyDescent="0.2">
      <c r="C16" s="76" t="s">
        <v>100</v>
      </c>
      <c r="D16" s="77"/>
      <c r="E16" s="77"/>
      <c r="F16" s="77"/>
      <c r="G16" s="77"/>
      <c r="H16" s="77"/>
      <c r="I16" s="77"/>
      <c r="J16" s="77"/>
      <c r="K16" s="77"/>
      <c r="L16" s="77"/>
      <c r="M16" s="77"/>
      <c r="N16" s="78"/>
      <c r="O16" s="175" t="str">
        <f>IF(TRIM(PlanPruebas!O16)="","",TRIM(PlanPruebas!O16))</f>
        <v/>
      </c>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7"/>
      <c r="BM16" s="29"/>
    </row>
    <row r="17" spans="2:67" ht="25" customHeight="1" x14ac:dyDescent="0.2">
      <c r="C17" s="76" t="s">
        <v>101</v>
      </c>
      <c r="D17" s="77"/>
      <c r="E17" s="77"/>
      <c r="F17" s="77"/>
      <c r="G17" s="77"/>
      <c r="H17" s="77"/>
      <c r="I17" s="77"/>
      <c r="J17" s="77"/>
      <c r="K17" s="77"/>
      <c r="L17" s="77"/>
      <c r="M17" s="77"/>
      <c r="N17" s="78"/>
      <c r="O17" s="175" t="str">
        <f>IF(TRIM(PlanPruebas!O17)="","",TRIM(PlanPruebas!O17))</f>
        <v>Proyecto like me E-comerce</v>
      </c>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7"/>
      <c r="BM17" s="29"/>
      <c r="BN17" s="30"/>
      <c r="BO17" s="30"/>
    </row>
    <row r="18" spans="2:67" ht="25" customHeight="1" x14ac:dyDescent="0.2">
      <c r="C18" s="76" t="s">
        <v>102</v>
      </c>
      <c r="D18" s="77"/>
      <c r="E18" s="77"/>
      <c r="F18" s="77"/>
      <c r="G18" s="77"/>
      <c r="H18" s="77"/>
      <c r="I18" s="77"/>
      <c r="J18" s="77"/>
      <c r="K18" s="77"/>
      <c r="L18" s="77"/>
      <c r="M18" s="77"/>
      <c r="N18" s="78"/>
      <c r="O18" s="175" t="str">
        <f>IF(TRIM(PlanPruebas!O18)="","",TRIM(PlanPruebas!O18))</f>
        <v/>
      </c>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7"/>
      <c r="BM18" s="29"/>
    </row>
    <row r="19" spans="2:67" ht="25" customHeight="1" x14ac:dyDescent="0.2">
      <c r="B19" s="19"/>
      <c r="C19" s="178" t="s">
        <v>103</v>
      </c>
      <c r="D19" s="179"/>
      <c r="E19" s="179"/>
      <c r="F19" s="179"/>
      <c r="G19" s="179"/>
      <c r="H19" s="179"/>
      <c r="I19" s="179"/>
      <c r="J19" s="179"/>
      <c r="K19" s="179"/>
      <c r="L19" s="179"/>
      <c r="M19" s="179"/>
      <c r="N19" s="180"/>
      <c r="O19" s="181" t="str">
        <f>IF(TRIM(PlanPruebas!O19)="","",TRIM(PlanPruebas!O19))</f>
        <v>Luis Fernando Pineda Urrego</v>
      </c>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3"/>
      <c r="BK19" s="19"/>
      <c r="BM19" s="29"/>
    </row>
    <row r="20" spans="2:67" ht="25" customHeight="1" x14ac:dyDescent="0.2">
      <c r="C20" s="130" t="s">
        <v>104</v>
      </c>
      <c r="D20" s="130"/>
      <c r="E20" s="130"/>
      <c r="F20" s="130"/>
      <c r="G20" s="130"/>
      <c r="H20" s="130"/>
      <c r="I20" s="130"/>
      <c r="J20" s="130"/>
      <c r="K20" s="130"/>
      <c r="L20" s="130"/>
      <c r="M20" s="130"/>
      <c r="N20" s="130"/>
      <c r="O20" s="188"/>
      <c r="P20" s="188"/>
      <c r="Q20" s="188"/>
      <c r="R20" s="188"/>
      <c r="S20" s="188"/>
      <c r="T20" s="188"/>
      <c r="U20" s="188"/>
      <c r="V20" s="188"/>
      <c r="W20" s="188"/>
      <c r="X20" s="188"/>
      <c r="Y20" s="188"/>
      <c r="Z20" s="188"/>
      <c r="AA20" s="188"/>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M20" s="29"/>
    </row>
    <row r="21" spans="2:67" ht="25" customHeight="1" x14ac:dyDescent="0.2">
      <c r="C21" s="130" t="s">
        <v>1</v>
      </c>
      <c r="D21" s="130"/>
      <c r="E21" s="130"/>
      <c r="F21" s="130"/>
      <c r="G21" s="130"/>
      <c r="H21" s="130"/>
      <c r="I21" s="130"/>
      <c r="J21" s="130"/>
      <c r="K21" s="130"/>
      <c r="L21" s="130"/>
      <c r="M21" s="130"/>
      <c r="N21" s="130"/>
      <c r="O21" s="188"/>
      <c r="P21" s="188"/>
      <c r="Q21" s="188"/>
      <c r="R21" s="188"/>
      <c r="S21" s="188"/>
      <c r="T21" s="188"/>
      <c r="U21" s="188"/>
      <c r="V21" s="188"/>
      <c r="W21" s="188"/>
      <c r="X21" s="188"/>
      <c r="Y21" s="188"/>
      <c r="Z21" s="188"/>
      <c r="AA21" s="188"/>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M21" s="29"/>
    </row>
    <row r="22" spans="2:67" ht="25" customHeight="1" x14ac:dyDescent="0.2">
      <c r="C22" s="3"/>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BM22" s="29"/>
    </row>
    <row r="23" spans="2:67" ht="39" customHeight="1" x14ac:dyDescent="0.2">
      <c r="C23" s="189" t="str">
        <f xml:space="preserve"> TRIM(O19) &amp; " quien participó como Analista de Pruebas del producto de pruebas " &amp; TRIM(O20) &amp; " por parte de Choucair Testing S.A., le confirma a " &amp; TRIM(O16) &amp; " que se ejecutaron satisfactoriamente todos los casos y pasos de prueba diseñados para la versión " &amp; TRIM(O21) &amp; " del proyecto " &amp; TRIM(O17) &amp; ", de acuerdo con el siguiente alcance especificado en el Plan General:"</f>
        <v>Luis Fernando Pineda Urrego quien participó como Analista de Pruebas del producto de pruebas  por parte de Choucair Testing S.A., le confirma a  que se ejecutaron satisfactoriamente todos los casos y pasos de prueba diseñados para la versión  del proyecto Proyecto like me E-comerce, de acuerdo con el siguiente alcance especificado en el Plan General:</v>
      </c>
      <c r="D23" s="189"/>
      <c r="E23" s="189"/>
      <c r="F23" s="189"/>
      <c r="G23" s="189"/>
      <c r="H23" s="189"/>
      <c r="I23" s="189"/>
      <c r="J23" s="189"/>
      <c r="K23" s="189"/>
      <c r="L23" s="189"/>
      <c r="M23" s="189"/>
      <c r="N23" s="189"/>
      <c r="O23" s="189"/>
      <c r="P23" s="189"/>
      <c r="Q23" s="189"/>
      <c r="R23" s="189"/>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M23" s="29"/>
    </row>
    <row r="24" spans="2:67" ht="15" customHeight="1" x14ac:dyDescent="0.2">
      <c r="C24" s="3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M24" s="29"/>
    </row>
    <row r="25" spans="2:67" s="38" customFormat="1" ht="25" customHeight="1" x14ac:dyDescent="0.2">
      <c r="B25" s="41">
        <v>0</v>
      </c>
      <c r="C25" s="184" t="str">
        <f>IF(TRIM(PlanPruebas!C74)="","",TRIM(PlanPruebas!C74))</f>
        <v/>
      </c>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M25" s="29"/>
    </row>
    <row r="26" spans="2:67" s="38" customFormat="1" ht="25" customHeight="1" x14ac:dyDescent="0.2">
      <c r="B26" s="41"/>
      <c r="C26" s="184" t="str">
        <f>IF(TRIM(PlanPruebas!C75)="","",TRIM(PlanPruebas!C75))</f>
        <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M26" s="29"/>
    </row>
    <row r="27" spans="2:67" s="38" customFormat="1" ht="25" customHeight="1" x14ac:dyDescent="0.2">
      <c r="B27" s="42">
        <v>0</v>
      </c>
      <c r="C27" s="185" t="str">
        <f>IF(TRIM(PlanPruebas!C76)="","",TRIM(PlanPruebas!C76))</f>
        <v/>
      </c>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M27" s="29"/>
    </row>
    <row r="28" spans="2:67" s="38" customFormat="1" ht="15" customHeight="1" x14ac:dyDescent="0.2">
      <c r="C28" s="35"/>
      <c r="D28" s="39"/>
      <c r="E28" s="39"/>
      <c r="F28" s="39"/>
      <c r="G28" s="40"/>
      <c r="H28" s="39"/>
      <c r="I28" s="39"/>
      <c r="J28" s="39"/>
      <c r="K28" s="40"/>
      <c r="L28" s="39"/>
      <c r="M28" s="39"/>
      <c r="N28" s="39"/>
      <c r="O28" s="40"/>
      <c r="P28" s="39"/>
      <c r="Q28" s="39"/>
      <c r="R28" s="39"/>
      <c r="S28" s="40"/>
      <c r="T28" s="39"/>
      <c r="U28" s="39"/>
      <c r="V28" s="39"/>
      <c r="W28" s="40"/>
      <c r="X28" s="39"/>
      <c r="Y28" s="39"/>
      <c r="Z28" s="39"/>
      <c r="AA28" s="40"/>
      <c r="AB28" s="39"/>
      <c r="AC28" s="39"/>
      <c r="AD28" s="39"/>
      <c r="AE28" s="40"/>
      <c r="AF28" s="39"/>
      <c r="AG28" s="39"/>
      <c r="AH28" s="39"/>
      <c r="AI28" s="39"/>
      <c r="AJ28" s="39"/>
      <c r="AK28" s="39"/>
      <c r="AL28" s="39"/>
      <c r="AM28" s="39"/>
      <c r="AN28" s="39"/>
      <c r="BM28" s="29"/>
    </row>
    <row r="29" spans="2:67" s="38" customFormat="1" ht="15" customHeight="1" x14ac:dyDescent="0.2">
      <c r="C29" s="190" t="s">
        <v>105</v>
      </c>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M29" s="29"/>
    </row>
    <row r="30" spans="2:67" s="38" customFormat="1" ht="15" customHeight="1" x14ac:dyDescent="0.2">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M30" s="29"/>
    </row>
    <row r="31" spans="2:67" s="38" customFormat="1" ht="25" customHeight="1" x14ac:dyDescent="0.2">
      <c r="B31" s="41">
        <v>0</v>
      </c>
      <c r="C31" s="184" t="str">
        <f>IF(TRIM(PlanPruebas!C89)="","",TRIM(PlanPruebas!C89))</f>
        <v>No se tendrá en cuenta los distintos modulos y perfiles distintos al flujo de paros y atención del paro.
No se tendrá en cuenta las pruebas de seguridad requeridad para el aplicativo, ya que estas deben ser realizadas por el analista de seguridad.
No se tendrá en cuenta las pruebas performance del aplicativo en esta planeación de pruebas.</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M31" s="29"/>
    </row>
    <row r="32" spans="2:67" s="38" customFormat="1" ht="25" customHeight="1" x14ac:dyDescent="0.2">
      <c r="B32" s="41">
        <v>0</v>
      </c>
      <c r="C32" s="184" t="str">
        <f>IF(TRIM(PlanPruebas!C90)="","",TRIM(PlanPruebas!C90))</f>
        <v/>
      </c>
      <c r="D32" s="184"/>
      <c r="E32" s="184"/>
      <c r="F32" s="184"/>
      <c r="G32" s="184"/>
      <c r="H32" s="184"/>
      <c r="I32" s="184"/>
      <c r="J32" s="184"/>
      <c r="K32" s="184"/>
      <c r="L32" s="184"/>
      <c r="M32" s="184"/>
      <c r="N32" s="184"/>
      <c r="O32" s="184"/>
      <c r="P32" s="184"/>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M32" s="29"/>
    </row>
    <row r="33" spans="2:65" s="38" customFormat="1" ht="25" customHeight="1" x14ac:dyDescent="0.2">
      <c r="B33" s="42">
        <v>0</v>
      </c>
      <c r="C33" s="185" t="str">
        <f>IF(TRIM(PlanPruebas!C91)="","",TRIM(PlanPruebas!C91))</f>
        <v/>
      </c>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c r="AH33" s="185"/>
      <c r="AI33" s="185"/>
      <c r="AJ33" s="185"/>
      <c r="AK33" s="185"/>
      <c r="AL33" s="185"/>
      <c r="AM33" s="185"/>
      <c r="AN33" s="185"/>
      <c r="AO33" s="185"/>
      <c r="AP33" s="185"/>
      <c r="AQ33" s="185"/>
      <c r="AR33" s="185"/>
      <c r="AS33" s="185"/>
      <c r="AT33" s="185"/>
      <c r="AU33" s="185"/>
      <c r="AV33" s="185"/>
      <c r="AW33" s="185"/>
      <c r="AX33" s="185"/>
      <c r="AY33" s="185"/>
      <c r="AZ33" s="185"/>
      <c r="BA33" s="185"/>
      <c r="BB33" s="185"/>
      <c r="BC33" s="185"/>
      <c r="BD33" s="185"/>
      <c r="BE33" s="185"/>
      <c r="BF33" s="185"/>
      <c r="BG33" s="185"/>
      <c r="BH33" s="185"/>
      <c r="BI33" s="185"/>
      <c r="BJ33" s="185"/>
      <c r="BM33" s="29"/>
    </row>
    <row r="34" spans="2:65" ht="15" customHeight="1" x14ac:dyDescent="0.2">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M34" s="29"/>
    </row>
    <row r="35" spans="2:65" ht="15" customHeight="1" x14ac:dyDescent="0.2">
      <c r="C35" s="36" t="s">
        <v>106</v>
      </c>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M35" s="29"/>
    </row>
    <row r="36" spans="2:65" ht="15" customHeight="1" x14ac:dyDescent="0.2">
      <c r="C36" s="37" t="s">
        <v>107</v>
      </c>
      <c r="D36" s="37" t="s">
        <v>108</v>
      </c>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M36" s="29"/>
    </row>
    <row r="37" spans="2:65" ht="15" customHeight="1" x14ac:dyDescent="0.2">
      <c r="C37" s="37" t="s">
        <v>107</v>
      </c>
      <c r="D37" s="37" t="s">
        <v>109</v>
      </c>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M37" s="29"/>
    </row>
    <row r="38" spans="2:65" ht="15" customHeight="1" x14ac:dyDescent="0.2">
      <c r="C38" s="37" t="s">
        <v>107</v>
      </c>
      <c r="D38" s="37" t="s">
        <v>110</v>
      </c>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M38" s="29"/>
    </row>
    <row r="39" spans="2:65" ht="15" customHeight="1" x14ac:dyDescent="0.2">
      <c r="C39" s="9"/>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M39" s="29"/>
    </row>
    <row r="40" spans="2:65" ht="15" customHeight="1" x14ac:dyDescent="0.2">
      <c r="C40" s="36" t="s">
        <v>111</v>
      </c>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M40" s="29"/>
    </row>
    <row r="41" spans="2:65" ht="15" customHeight="1" x14ac:dyDescent="0.2">
      <c r="C41" s="37" t="s">
        <v>107</v>
      </c>
      <c r="D41" s="36" t="s">
        <v>112</v>
      </c>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M41" s="29"/>
    </row>
    <row r="42" spans="2:65" ht="15" customHeight="1" x14ac:dyDescent="0.2">
      <c r="C42" s="37" t="s">
        <v>107</v>
      </c>
      <c r="D42" s="36" t="s">
        <v>113</v>
      </c>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M42" s="29"/>
    </row>
    <row r="43" spans="2:65" ht="15" customHeight="1" x14ac:dyDescent="0.2">
      <c r="C43" s="37" t="s">
        <v>107</v>
      </c>
      <c r="D43" s="36" t="s">
        <v>114</v>
      </c>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M43" s="29"/>
    </row>
    <row r="44" spans="2:65" ht="15" customHeight="1" x14ac:dyDescent="0.2">
      <c r="C44" s="37" t="s">
        <v>107</v>
      </c>
      <c r="D44" s="36" t="s">
        <v>115</v>
      </c>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M44" s="29"/>
    </row>
    <row r="45" spans="2:65" ht="15" customHeight="1" x14ac:dyDescent="0.2">
      <c r="C45" s="37" t="s">
        <v>107</v>
      </c>
      <c r="D45" s="36" t="s">
        <v>116</v>
      </c>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M45" s="29"/>
    </row>
    <row r="46" spans="2:65" ht="15" customHeight="1" x14ac:dyDescent="0.2">
      <c r="C46" s="9"/>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M46" s="29"/>
    </row>
    <row r="47" spans="2:65" ht="15" customHeight="1" x14ac:dyDescent="0.2">
      <c r="C47" s="36" t="s">
        <v>117</v>
      </c>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M47" s="29"/>
    </row>
    <row r="48" spans="2:65" ht="25" customHeight="1" x14ac:dyDescent="0.2">
      <c r="C48" s="3"/>
      <c r="D48" s="21"/>
      <c r="E48" s="21"/>
      <c r="F48" s="21"/>
      <c r="G48" s="3"/>
      <c r="H48" s="21"/>
      <c r="I48" s="21"/>
      <c r="J48" s="21"/>
      <c r="K48" s="3"/>
      <c r="L48" s="21"/>
      <c r="M48" s="21"/>
      <c r="N48" s="21"/>
      <c r="O48" s="3"/>
      <c r="P48" s="21"/>
      <c r="Q48" s="21"/>
      <c r="R48" s="21"/>
      <c r="S48" s="3"/>
      <c r="T48" s="21"/>
      <c r="U48" s="21"/>
      <c r="V48" s="21"/>
      <c r="W48" s="3"/>
      <c r="X48" s="21"/>
      <c r="Y48" s="21"/>
      <c r="Z48" s="21"/>
      <c r="AA48" s="3"/>
      <c r="AB48" s="21"/>
      <c r="AC48" s="21"/>
      <c r="AD48" s="21"/>
      <c r="AE48" s="3"/>
      <c r="AF48" s="21"/>
      <c r="AG48" s="21"/>
      <c r="AH48" s="21"/>
      <c r="AI48" s="21"/>
      <c r="AJ48" s="21"/>
      <c r="AK48" s="21"/>
      <c r="AL48" s="21"/>
      <c r="AM48" s="21"/>
      <c r="AN48" s="21"/>
      <c r="BM48" s="29"/>
    </row>
    <row r="49" spans="2:65" ht="16" thickBot="1" x14ac:dyDescent="0.25">
      <c r="C49" s="22" t="s">
        <v>118</v>
      </c>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M49" s="29" t="str">
        <f>IF($BI$50="No",1,"")</f>
        <v/>
      </c>
    </row>
    <row r="50" spans="2:65" x14ac:dyDescent="0.2">
      <c r="C50" s="26"/>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8" t="s">
        <v>61</v>
      </c>
      <c r="BI50" s="114" t="s">
        <v>62</v>
      </c>
      <c r="BJ50" s="114"/>
      <c r="BM50" s="29">
        <v>1</v>
      </c>
    </row>
    <row r="51" spans="2:65" ht="15" customHeight="1" x14ac:dyDescent="0.2">
      <c r="C51" s="3"/>
      <c r="D51" s="21"/>
      <c r="E51" s="21"/>
      <c r="F51" s="3"/>
      <c r="G51" s="21"/>
      <c r="H51" s="21"/>
      <c r="I51" s="3"/>
      <c r="J51" s="21"/>
      <c r="K51" s="21"/>
      <c r="L51" s="3"/>
      <c r="M51" s="21"/>
      <c r="N51" s="21"/>
      <c r="O51" s="3"/>
      <c r="P51" s="21"/>
      <c r="Q51" s="21"/>
      <c r="R51" s="3"/>
      <c r="S51" s="21"/>
      <c r="T51" s="21"/>
      <c r="U51" s="3"/>
      <c r="V51" s="21"/>
      <c r="W51" s="21"/>
      <c r="X51" s="3"/>
      <c r="Y51" s="21"/>
      <c r="Z51" s="21"/>
      <c r="AA51" s="3"/>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M51" s="29" t="str">
        <f>IF($BI$50="No",1,"")</f>
        <v/>
      </c>
    </row>
    <row r="52" spans="2:65" ht="25" customHeight="1" x14ac:dyDescent="0.2">
      <c r="B52" s="18">
        <f>COUNTA(C52:BJ52)</f>
        <v>0</v>
      </c>
      <c r="C52" s="82"/>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4"/>
      <c r="BM52" s="29" t="str">
        <f>IF($BI$50="No",1,"")</f>
        <v/>
      </c>
    </row>
    <row r="53" spans="2:65" ht="25" customHeight="1" x14ac:dyDescent="0.2">
      <c r="B53" s="18">
        <f>COUNTA(C53:BJ53)</f>
        <v>0</v>
      </c>
      <c r="C53" s="57"/>
      <c r="D53" s="64"/>
      <c r="E53" s="64"/>
      <c r="F53" s="64"/>
      <c r="G53" s="64"/>
      <c r="H53" s="64"/>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59"/>
      <c r="BM53" s="29" t="str">
        <f>IF($BI$50="No",1,"")</f>
        <v/>
      </c>
    </row>
    <row r="54" spans="2:65" ht="25" customHeight="1" x14ac:dyDescent="0.2">
      <c r="B54" s="18">
        <f>COUNTA(C54:BJ54)</f>
        <v>0</v>
      </c>
      <c r="C54" s="65"/>
      <c r="D54" s="55"/>
      <c r="E54" s="55"/>
      <c r="F54" s="55"/>
      <c r="G54" s="55"/>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66"/>
      <c r="BK54" s="19"/>
      <c r="BM54" s="29" t="str">
        <f>IF($BI$50="No",1,"")</f>
        <v/>
      </c>
    </row>
    <row r="55" spans="2:65" ht="25" customHeight="1" x14ac:dyDescent="0.2">
      <c r="C55" s="71" t="s">
        <v>52</v>
      </c>
      <c r="D55" s="72"/>
      <c r="E55" s="72"/>
      <c r="F55" s="72"/>
      <c r="G55" s="72"/>
      <c r="H55" s="72"/>
      <c r="I55" s="72"/>
      <c r="J55" s="72"/>
      <c r="K55" s="72"/>
      <c r="L55" s="72"/>
      <c r="M55" s="72"/>
      <c r="N55" s="72"/>
      <c r="O55" s="72"/>
      <c r="P55" s="72"/>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3"/>
      <c r="BG55" s="74" t="s">
        <v>53</v>
      </c>
      <c r="BH55" s="75"/>
      <c r="BI55" s="74" t="s">
        <v>54</v>
      </c>
      <c r="BJ55" s="75"/>
      <c r="BM55" s="29">
        <v>1</v>
      </c>
    </row>
    <row r="56" spans="2:65" ht="15" customHeight="1" x14ac:dyDescent="0.2">
      <c r="C56" s="3"/>
      <c r="D56" s="21"/>
      <c r="E56" s="21"/>
      <c r="F56" s="21"/>
      <c r="G56" s="3"/>
      <c r="H56" s="21"/>
      <c r="I56" s="21"/>
      <c r="J56" s="21"/>
      <c r="K56" s="3"/>
      <c r="L56" s="21"/>
      <c r="M56" s="21"/>
      <c r="N56" s="21"/>
      <c r="O56" s="3"/>
      <c r="P56" s="21"/>
      <c r="Q56" s="21"/>
      <c r="R56" s="21"/>
      <c r="S56" s="3"/>
      <c r="T56" s="21"/>
      <c r="U56" s="21"/>
      <c r="V56" s="21"/>
      <c r="W56" s="3"/>
      <c r="X56" s="21"/>
      <c r="Y56" s="21"/>
      <c r="Z56" s="21"/>
      <c r="AA56" s="3"/>
      <c r="AB56" s="21"/>
      <c r="AC56" s="21"/>
      <c r="AD56" s="21"/>
      <c r="AE56" s="3"/>
      <c r="AF56" s="21"/>
      <c r="AG56" s="21"/>
      <c r="AH56" s="21"/>
      <c r="AI56" s="21"/>
      <c r="AJ56" s="21"/>
      <c r="AK56" s="21"/>
      <c r="AL56" s="21"/>
      <c r="AM56" s="21"/>
      <c r="AN56" s="21"/>
      <c r="BM56" s="29" t="str">
        <f>IF($BI$50="No",1,"")</f>
        <v/>
      </c>
    </row>
    <row r="57" spans="2:65" ht="15" customHeight="1" x14ac:dyDescent="0.2">
      <c r="C57" s="36" t="s">
        <v>119</v>
      </c>
      <c r="D57" s="21"/>
      <c r="E57" s="21"/>
      <c r="F57" s="21"/>
      <c r="G57" s="3"/>
      <c r="H57" s="21"/>
      <c r="I57" s="21"/>
      <c r="J57" s="21"/>
      <c r="K57" s="3"/>
      <c r="L57" s="21"/>
      <c r="M57" s="21"/>
      <c r="N57" s="21"/>
      <c r="O57" s="3"/>
      <c r="P57" s="21"/>
      <c r="Q57" s="21"/>
      <c r="R57" s="21"/>
      <c r="S57" s="3"/>
      <c r="T57" s="21"/>
      <c r="U57" s="21"/>
      <c r="V57" s="21"/>
      <c r="W57" s="3"/>
      <c r="X57" s="21"/>
      <c r="Y57" s="21"/>
      <c r="Z57" s="21"/>
      <c r="AA57" s="3"/>
      <c r="AB57" s="21"/>
      <c r="AC57" s="21"/>
      <c r="AD57" s="21"/>
      <c r="AE57" s="3"/>
      <c r="AF57" s="21"/>
      <c r="AG57" s="21"/>
      <c r="AH57" s="21"/>
      <c r="AI57" s="21"/>
      <c r="AJ57" s="21"/>
      <c r="AK57" s="21"/>
      <c r="AL57" s="21"/>
      <c r="AM57" s="21"/>
      <c r="AN57" s="21"/>
      <c r="BM57" s="29"/>
    </row>
    <row r="58" spans="2:65" ht="15" customHeight="1" x14ac:dyDescent="0.2">
      <c r="C58" s="21"/>
      <c r="D58" s="21"/>
      <c r="E58" s="21"/>
      <c r="F58" s="21"/>
      <c r="G58" s="21"/>
      <c r="H58" s="21"/>
      <c r="I58" s="21"/>
      <c r="J58" s="21"/>
      <c r="K58" s="21"/>
      <c r="L58" s="21"/>
      <c r="M58" s="21"/>
      <c r="N58" s="21"/>
      <c r="O58" s="21"/>
      <c r="P58" s="21"/>
      <c r="Q58" s="21"/>
      <c r="R58" s="21"/>
      <c r="S58" s="3"/>
      <c r="T58" s="21"/>
      <c r="U58" s="21"/>
      <c r="V58" s="21"/>
      <c r="W58" s="3"/>
      <c r="X58" s="21"/>
      <c r="Y58" s="21"/>
      <c r="Z58" s="21"/>
      <c r="AA58" s="3"/>
      <c r="AB58" s="21"/>
      <c r="AC58" s="21"/>
      <c r="AD58" s="21"/>
      <c r="AE58" s="3"/>
      <c r="AF58" s="21"/>
      <c r="AG58" s="21"/>
      <c r="AH58" s="21"/>
      <c r="AI58" s="21"/>
      <c r="AJ58" s="21"/>
      <c r="AK58" s="21"/>
      <c r="AL58" s="21"/>
      <c r="AM58" s="21"/>
      <c r="AN58" s="21"/>
      <c r="BM58" s="29"/>
    </row>
    <row r="59" spans="2:65" ht="25" customHeight="1" x14ac:dyDescent="0.2">
      <c r="C59" s="163" t="s">
        <v>77</v>
      </c>
      <c r="D59" s="164"/>
      <c r="E59" s="164"/>
      <c r="F59" s="164"/>
      <c r="G59" s="164"/>
      <c r="H59" s="164"/>
      <c r="I59" s="164"/>
      <c r="J59" s="164"/>
      <c r="K59" s="164"/>
      <c r="L59" s="164"/>
      <c r="M59" s="164"/>
      <c r="N59" s="164"/>
      <c r="O59" s="164"/>
      <c r="P59" s="164"/>
      <c r="Q59" s="165"/>
      <c r="R59" s="138" t="s">
        <v>120</v>
      </c>
      <c r="S59" s="138"/>
      <c r="T59" s="138"/>
      <c r="U59" s="138"/>
      <c r="V59" s="138"/>
      <c r="W59" s="138"/>
      <c r="X59" s="138"/>
      <c r="Y59" s="138"/>
      <c r="Z59" s="138"/>
      <c r="AA59" s="138"/>
      <c r="AB59" s="138"/>
      <c r="AC59" s="138"/>
      <c r="AD59" s="138"/>
      <c r="AE59" s="138"/>
      <c r="AF59" s="138"/>
      <c r="AG59" s="138" t="s">
        <v>121</v>
      </c>
      <c r="AH59" s="138"/>
      <c r="AI59" s="138"/>
      <c r="AJ59" s="138"/>
      <c r="AK59" s="138"/>
      <c r="AL59" s="138"/>
      <c r="AM59" s="138"/>
      <c r="AN59" s="138"/>
      <c r="AO59" s="138"/>
      <c r="AP59" s="138"/>
      <c r="AQ59" s="138"/>
      <c r="AR59" s="138"/>
      <c r="AS59" s="138"/>
      <c r="AT59" s="138"/>
      <c r="AU59" s="138"/>
      <c r="AV59" s="138" t="s">
        <v>122</v>
      </c>
      <c r="AW59" s="138"/>
      <c r="AX59" s="138"/>
      <c r="AY59" s="138"/>
      <c r="AZ59" s="138"/>
      <c r="BA59" s="138"/>
      <c r="BB59" s="138"/>
      <c r="BC59" s="138"/>
      <c r="BD59" s="138"/>
      <c r="BE59" s="138"/>
      <c r="BF59" s="138"/>
      <c r="BG59" s="138"/>
      <c r="BH59" s="138"/>
      <c r="BI59" s="138"/>
      <c r="BJ59" s="138"/>
      <c r="BM59" s="29"/>
    </row>
    <row r="60" spans="2:65" ht="25" customHeight="1" x14ac:dyDescent="0.2">
      <c r="B60" s="18">
        <f>COUNTA(C60:BJ60)</f>
        <v>0</v>
      </c>
      <c r="C60" s="191"/>
      <c r="D60" s="192"/>
      <c r="E60" s="192"/>
      <c r="F60" s="192"/>
      <c r="G60" s="192"/>
      <c r="H60" s="192"/>
      <c r="I60" s="192"/>
      <c r="J60" s="192"/>
      <c r="K60" s="192"/>
      <c r="L60" s="192"/>
      <c r="M60" s="192"/>
      <c r="N60" s="192"/>
      <c r="O60" s="192"/>
      <c r="P60" s="192"/>
      <c r="Q60" s="193"/>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M60" s="29"/>
    </row>
    <row r="61" spans="2:65" ht="25" customHeight="1" x14ac:dyDescent="0.2">
      <c r="B61" s="18">
        <f>COUNTA(C61:BJ61)</f>
        <v>0</v>
      </c>
      <c r="C61" s="191"/>
      <c r="D61" s="192"/>
      <c r="E61" s="192"/>
      <c r="F61" s="192"/>
      <c r="G61" s="192"/>
      <c r="H61" s="192"/>
      <c r="I61" s="192"/>
      <c r="J61" s="192"/>
      <c r="K61" s="192"/>
      <c r="L61" s="192"/>
      <c r="M61" s="192"/>
      <c r="N61" s="192"/>
      <c r="O61" s="192"/>
      <c r="P61" s="192"/>
      <c r="Q61" s="193"/>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M61" s="29"/>
    </row>
    <row r="62" spans="2:65" ht="25" customHeight="1" x14ac:dyDescent="0.2">
      <c r="B62" s="18">
        <f>COUNTA(C62:BJ62)</f>
        <v>0</v>
      </c>
      <c r="C62" s="191"/>
      <c r="D62" s="192"/>
      <c r="E62" s="192"/>
      <c r="F62" s="192"/>
      <c r="G62" s="192"/>
      <c r="H62" s="192"/>
      <c r="I62" s="192"/>
      <c r="J62" s="192"/>
      <c r="K62" s="192"/>
      <c r="L62" s="192"/>
      <c r="M62" s="192"/>
      <c r="N62" s="192"/>
      <c r="O62" s="192"/>
      <c r="P62" s="192"/>
      <c r="Q62" s="193"/>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102"/>
      <c r="BF62" s="102"/>
      <c r="BG62" s="102"/>
      <c r="BH62" s="102"/>
      <c r="BI62" s="102"/>
      <c r="BJ62" s="102"/>
      <c r="BK62" s="19"/>
      <c r="BM62" s="29"/>
    </row>
    <row r="63" spans="2:65" ht="25" customHeight="1" x14ac:dyDescent="0.2">
      <c r="C63" s="131" t="s">
        <v>52</v>
      </c>
      <c r="D63" s="131"/>
      <c r="E63" s="131"/>
      <c r="F63" s="131"/>
      <c r="G63" s="131"/>
      <c r="H63" s="131"/>
      <c r="I63" s="131"/>
      <c r="J63" s="131"/>
      <c r="K63" s="131"/>
      <c r="L63" s="131"/>
      <c r="M63" s="131"/>
      <c r="N63" s="131"/>
      <c r="O63" s="131"/>
      <c r="P63" s="131"/>
      <c r="Q63" s="131"/>
      <c r="R63" s="131"/>
      <c r="S63" s="131"/>
      <c r="T63" s="131"/>
      <c r="U63" s="131"/>
      <c r="V63" s="131"/>
      <c r="W63" s="131"/>
      <c r="X63" s="131"/>
      <c r="Y63" s="131"/>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c r="AY63" s="131"/>
      <c r="AZ63" s="131"/>
      <c r="BA63" s="131"/>
      <c r="BB63" s="131"/>
      <c r="BC63" s="131"/>
      <c r="BD63" s="131"/>
      <c r="BE63" s="131"/>
      <c r="BF63" s="131"/>
      <c r="BG63" s="74" t="s">
        <v>53</v>
      </c>
      <c r="BH63" s="75"/>
      <c r="BI63" s="74" t="s">
        <v>54</v>
      </c>
      <c r="BJ63" s="75"/>
      <c r="BM63" s="29">
        <v>1</v>
      </c>
    </row>
    <row r="64" spans="2:65" ht="25" customHeight="1" x14ac:dyDescent="0.2">
      <c r="C64" s="9"/>
      <c r="D64" s="9"/>
      <c r="E64" s="9"/>
      <c r="K64" s="9"/>
      <c r="L64" s="9"/>
      <c r="M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M64" s="29"/>
    </row>
    <row r="65" spans="3:65" ht="16" thickBot="1" x14ac:dyDescent="0.25">
      <c r="C65" s="22" t="s">
        <v>95</v>
      </c>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M65" s="29">
        <v>1</v>
      </c>
    </row>
    <row r="66" spans="3:65" x14ac:dyDescent="0.2">
      <c r="BM66" s="29">
        <v>1</v>
      </c>
    </row>
    <row r="67" spans="3:65" x14ac:dyDescent="0.2">
      <c r="K67" s="33"/>
      <c r="L67" s="33"/>
      <c r="M67" s="33"/>
      <c r="N67" s="142" t="s">
        <v>123</v>
      </c>
      <c r="O67" s="142"/>
      <c r="P67" s="142"/>
      <c r="Q67" s="142"/>
      <c r="R67" s="142"/>
      <c r="S67" s="142"/>
      <c r="T67" s="142"/>
      <c r="U67" s="142"/>
      <c r="V67" s="142"/>
      <c r="W67" s="142"/>
      <c r="X67" s="142"/>
      <c r="Y67" s="142"/>
      <c r="Z67" s="142"/>
      <c r="AA67" s="142"/>
      <c r="AB67" s="142"/>
      <c r="AC67" s="142"/>
      <c r="AD67" s="142"/>
      <c r="AE67" s="142"/>
      <c r="AF67" s="142"/>
      <c r="AG67" s="142"/>
      <c r="AH67" s="142"/>
      <c r="AI67" s="142"/>
      <c r="AJ67" s="142"/>
      <c r="AK67" s="142"/>
      <c r="AL67" s="142"/>
      <c r="AM67" s="142"/>
      <c r="AN67" s="142"/>
      <c r="AO67" s="142"/>
      <c r="AP67" s="142"/>
      <c r="AQ67" s="142"/>
      <c r="AR67" s="142"/>
      <c r="AS67" s="142"/>
      <c r="AT67" s="142"/>
      <c r="AU67" s="142"/>
      <c r="AV67" s="142"/>
      <c r="AW67" s="142"/>
      <c r="AX67" s="142"/>
      <c r="AY67" s="142"/>
      <c r="AZ67" s="142"/>
      <c r="BA67" s="142"/>
      <c r="BB67" s="142"/>
      <c r="BC67" s="142"/>
      <c r="BD67" s="142"/>
      <c r="BE67" s="142"/>
      <c r="BF67" s="142"/>
      <c r="BG67" s="142"/>
      <c r="BH67" s="142"/>
      <c r="BI67" s="142"/>
      <c r="BJ67" s="142"/>
      <c r="BM67" s="29">
        <v>1</v>
      </c>
    </row>
    <row r="68" spans="3:65" x14ac:dyDescent="0.2">
      <c r="K68" s="33"/>
      <c r="L68" s="33"/>
      <c r="M68" s="33"/>
      <c r="N68" s="142"/>
      <c r="O68" s="142"/>
      <c r="P68" s="142"/>
      <c r="Q68" s="142"/>
      <c r="R68" s="142"/>
      <c r="S68" s="142"/>
      <c r="T68" s="142"/>
      <c r="U68" s="142"/>
      <c r="V68" s="142"/>
      <c r="W68" s="142"/>
      <c r="X68" s="142"/>
      <c r="Y68" s="142"/>
      <c r="Z68" s="142"/>
      <c r="AA68" s="142"/>
      <c r="AB68" s="142"/>
      <c r="AC68" s="142"/>
      <c r="AD68" s="142"/>
      <c r="AE68" s="142"/>
      <c r="AF68" s="142"/>
      <c r="AG68" s="142"/>
      <c r="AH68" s="142"/>
      <c r="AI68" s="142"/>
      <c r="AJ68" s="142"/>
      <c r="AK68" s="142"/>
      <c r="AL68" s="142"/>
      <c r="AM68" s="142"/>
      <c r="AN68" s="142"/>
      <c r="AO68" s="142"/>
      <c r="AP68" s="142"/>
      <c r="AQ68" s="142"/>
      <c r="AR68" s="142"/>
      <c r="AS68" s="142"/>
      <c r="AT68" s="142"/>
      <c r="AU68" s="142"/>
      <c r="AV68" s="142"/>
      <c r="AW68" s="142"/>
      <c r="AX68" s="142"/>
      <c r="AY68" s="142"/>
      <c r="AZ68" s="142"/>
      <c r="BA68" s="142"/>
      <c r="BB68" s="142"/>
      <c r="BC68" s="142"/>
      <c r="BD68" s="142"/>
      <c r="BE68" s="142"/>
      <c r="BF68" s="142"/>
      <c r="BG68" s="142"/>
      <c r="BH68" s="142"/>
      <c r="BI68" s="142"/>
      <c r="BJ68" s="142"/>
      <c r="BM68" s="29">
        <v>1</v>
      </c>
    </row>
    <row r="69" spans="3:65" x14ac:dyDescent="0.2">
      <c r="BM69" s="29">
        <v>1</v>
      </c>
    </row>
    <row r="70" spans="3:65" ht="30" customHeight="1" x14ac:dyDescent="0.2">
      <c r="C70" s="140" t="s">
        <v>97</v>
      </c>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M70" s="29"/>
    </row>
    <row r="71" spans="3:65" ht="30" customHeight="1" x14ac:dyDescent="0.2">
      <c r="C71" s="186" t="str">
        <f>"versión "&amp;Parametros!A1&amp;"   -   CONFIDENCIAL"</f>
        <v>versión 1.5   -   CONFIDENCIAL</v>
      </c>
      <c r="D71" s="186"/>
      <c r="E71" s="186"/>
      <c r="F71" s="186"/>
      <c r="G71" s="186"/>
      <c r="H71" s="186"/>
      <c r="I71" s="186"/>
      <c r="J71" s="186"/>
      <c r="K71" s="186"/>
      <c r="L71" s="186"/>
      <c r="M71" s="186"/>
      <c r="N71" s="186"/>
      <c r="O71" s="186"/>
      <c r="P71" s="186"/>
      <c r="Q71" s="186"/>
      <c r="R71" s="186"/>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M71" s="29"/>
    </row>
    <row r="72" spans="3:65" ht="30" customHeight="1" x14ac:dyDescent="0.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M72" s="29"/>
    </row>
  </sheetData>
  <sheetProtection algorithmName="SHA-512" hashValue="JoBROD0DwuBGOfRvLO7S/of4IWe4v+GHzY3QAZEL2qSF867ld+2kVkq36FcGc0h4G8AB3xMhqF1ydWYz0X/5Fg==" saltValue="MEFWRIJj92+UstlxQVCelA==" spinCount="100000" sheet="1" objects="1" scenarios="1" formatCells="0" formatRows="0" insertHyperlinks="0" autoFilter="0"/>
  <dataConsolidate/>
  <mergeCells count="80">
    <mergeCell ref="AG62:AU62"/>
    <mergeCell ref="AV62:BJ62"/>
    <mergeCell ref="C59:Q59"/>
    <mergeCell ref="C60:Q60"/>
    <mergeCell ref="C61:Q61"/>
    <mergeCell ref="C62:Q62"/>
    <mergeCell ref="AG60:AU60"/>
    <mergeCell ref="AV60:BJ60"/>
    <mergeCell ref="R61:AF61"/>
    <mergeCell ref="AG61:AU61"/>
    <mergeCell ref="AV61:BJ61"/>
    <mergeCell ref="R59:AF59"/>
    <mergeCell ref="AG59:AU59"/>
    <mergeCell ref="AV59:BJ59"/>
    <mergeCell ref="O21:AA21"/>
    <mergeCell ref="AB21:BJ21"/>
    <mergeCell ref="C23:BJ23"/>
    <mergeCell ref="C29:BJ29"/>
    <mergeCell ref="C25:BJ25"/>
    <mergeCell ref="C27:BJ27"/>
    <mergeCell ref="C26:BJ26"/>
    <mergeCell ref="N67:BJ68"/>
    <mergeCell ref="C70:BF70"/>
    <mergeCell ref="C71:BF71"/>
    <mergeCell ref="C20:N20"/>
    <mergeCell ref="AB20:BJ20"/>
    <mergeCell ref="O20:AA20"/>
    <mergeCell ref="C21:N21"/>
    <mergeCell ref="C63:BF63"/>
    <mergeCell ref="BG63:BH63"/>
    <mergeCell ref="BI63:BJ63"/>
    <mergeCell ref="R62:AF62"/>
    <mergeCell ref="C54:BJ54"/>
    <mergeCell ref="C55:BF55"/>
    <mergeCell ref="BG55:BH55"/>
    <mergeCell ref="BI55:BJ55"/>
    <mergeCell ref="BI50:BJ50"/>
    <mergeCell ref="C52:BJ52"/>
    <mergeCell ref="C53:BJ53"/>
    <mergeCell ref="R60:AF60"/>
    <mergeCell ref="C31:BJ31"/>
    <mergeCell ref="C32:BJ32"/>
    <mergeCell ref="C33:BJ33"/>
    <mergeCell ref="C18:N18"/>
    <mergeCell ref="O18:BJ18"/>
    <mergeCell ref="C19:N19"/>
    <mergeCell ref="O19:BJ19"/>
    <mergeCell ref="C12:BF12"/>
    <mergeCell ref="BG12:BH12"/>
    <mergeCell ref="BI12:BJ12"/>
    <mergeCell ref="C16:N16"/>
    <mergeCell ref="O16:BJ16"/>
    <mergeCell ref="C17:N17"/>
    <mergeCell ref="O17:BJ17"/>
    <mergeCell ref="AV11:BJ11"/>
    <mergeCell ref="C10:G10"/>
    <mergeCell ref="H10:L10"/>
    <mergeCell ref="M10:Q10"/>
    <mergeCell ref="R10:AF10"/>
    <mergeCell ref="AG10:AU10"/>
    <mergeCell ref="AV10:BJ10"/>
    <mergeCell ref="C11:G11"/>
    <mergeCell ref="H11:L11"/>
    <mergeCell ref="M11:Q11"/>
    <mergeCell ref="R11:AF11"/>
    <mergeCell ref="AG11:AU11"/>
    <mergeCell ref="AV9:BJ9"/>
    <mergeCell ref="C3:O6"/>
    <mergeCell ref="P3:BJ6"/>
    <mergeCell ref="C8:G8"/>
    <mergeCell ref="H8:L8"/>
    <mergeCell ref="M8:Q8"/>
    <mergeCell ref="R8:AF8"/>
    <mergeCell ref="AG8:AU8"/>
    <mergeCell ref="AV8:BJ8"/>
    <mergeCell ref="C9:G9"/>
    <mergeCell ref="H9:L9"/>
    <mergeCell ref="M9:Q9"/>
    <mergeCell ref="R9:AF9"/>
    <mergeCell ref="AG9:AU9"/>
  </mergeCells>
  <dataValidations count="5">
    <dataValidation type="list" allowBlank="1" showInputMessage="1" showErrorMessage="1" sqref="H9:L11" xr:uid="{00000000-0002-0000-0200-000000000000}">
      <formula1>Accion</formula1>
    </dataValidation>
    <dataValidation type="date" allowBlank="1" showInputMessage="1" showErrorMessage="1" prompt="Formato entrada: _x000a_dd/mmm/yyyy_x000a__x000a_Ejemplo:_x000a_18/abr/2017" sqref="M9:Q11" xr:uid="{00000000-0002-0000-0200-000001000000}">
      <formula1>1</formula1>
      <formula2>401769</formula2>
    </dataValidation>
    <dataValidation type="list" allowBlank="1" showInputMessage="1" showErrorMessage="1" sqref="N19:N21" xr:uid="{00000000-0002-0000-0200-000002000000}">
      <formula1>TipoProyecto</formula1>
    </dataValidation>
    <dataValidation type="list" allowBlank="1" showInputMessage="1" showErrorMessage="1" sqref="BI50:BJ50" xr:uid="{00000000-0002-0000-0200-000003000000}">
      <formula1>SiNo</formula1>
    </dataValidation>
    <dataValidation type="list" allowBlank="1" showInputMessage="1" showErrorMessage="1" sqref="O20" xr:uid="{00000000-0002-0000-0200-000004000000}">
      <formula1>Producto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rtaCondicionada"/>
  <dimension ref="A1:XFC75"/>
  <sheetViews>
    <sheetView showGridLines="0" zoomScaleNormal="100" workbookViewId="0">
      <selection activeCell="C11" sqref="C11:G11"/>
    </sheetView>
  </sheetViews>
  <sheetFormatPr baseColWidth="10" defaultColWidth="0" defaultRowHeight="15" x14ac:dyDescent="0.2"/>
  <cols>
    <col min="1" max="63" width="2.6640625" customWidth="1"/>
    <col min="64" max="64" width="2.5" customWidth="1"/>
    <col min="65" max="65" width="2.83203125" hidden="1"/>
    <col min="66" max="66" width="4.1640625" hidden="1"/>
    <col min="67" max="16383" width="2.83203125" hidden="1"/>
    <col min="16384" max="16384" width="2.6640625" hidden="1"/>
  </cols>
  <sheetData>
    <row r="1" spans="1:66" x14ac:dyDescent="0.2">
      <c r="BM1" s="31"/>
      <c r="BN1" s="44" t="e">
        <f>ROW(PlanPruebas!#REF!)</f>
        <v>#REF!</v>
      </c>
    </row>
    <row r="2" spans="1:66"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29"/>
      <c r="BN2" s="44">
        <f>ROW(PlanPruebas!BM90)</f>
        <v>90</v>
      </c>
    </row>
    <row r="3" spans="1:66" ht="15" customHeight="1" x14ac:dyDescent="0.2">
      <c r="C3" s="152"/>
      <c r="D3" s="152"/>
      <c r="E3" s="152"/>
      <c r="F3" s="152"/>
      <c r="G3" s="152"/>
      <c r="H3" s="152"/>
      <c r="I3" s="152"/>
      <c r="J3" s="152"/>
      <c r="K3" s="152"/>
      <c r="L3" s="152"/>
      <c r="M3" s="152"/>
      <c r="N3" s="152"/>
      <c r="O3" s="152"/>
      <c r="P3" s="166" t="s">
        <v>124</v>
      </c>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8"/>
      <c r="BM3" s="29"/>
    </row>
    <row r="4" spans="1:66" ht="15" customHeight="1" x14ac:dyDescent="0.2">
      <c r="C4" s="152"/>
      <c r="D4" s="152"/>
      <c r="E4" s="152"/>
      <c r="F4" s="152"/>
      <c r="G4" s="152"/>
      <c r="H4" s="152"/>
      <c r="I4" s="152"/>
      <c r="J4" s="152"/>
      <c r="K4" s="152"/>
      <c r="L4" s="152"/>
      <c r="M4" s="152"/>
      <c r="N4" s="152"/>
      <c r="O4" s="152"/>
      <c r="P4" s="169"/>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1"/>
      <c r="BM4" s="29"/>
    </row>
    <row r="5" spans="1:66" ht="15" customHeight="1" x14ac:dyDescent="0.2">
      <c r="C5" s="152"/>
      <c r="D5" s="152"/>
      <c r="E5" s="152"/>
      <c r="F5" s="152"/>
      <c r="G5" s="152"/>
      <c r="H5" s="152"/>
      <c r="I5" s="152"/>
      <c r="J5" s="152"/>
      <c r="K5" s="152"/>
      <c r="L5" s="152"/>
      <c r="M5" s="152"/>
      <c r="N5" s="152"/>
      <c r="O5" s="152"/>
      <c r="P5" s="169"/>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1"/>
      <c r="BM5" s="29"/>
    </row>
    <row r="6" spans="1:66" ht="15" customHeight="1" x14ac:dyDescent="0.2">
      <c r="C6" s="152"/>
      <c r="D6" s="152"/>
      <c r="E6" s="152"/>
      <c r="F6" s="152"/>
      <c r="G6" s="152"/>
      <c r="H6" s="152"/>
      <c r="I6" s="152"/>
      <c r="J6" s="152"/>
      <c r="K6" s="152"/>
      <c r="L6" s="152"/>
      <c r="M6" s="152"/>
      <c r="N6" s="152"/>
      <c r="O6" s="152"/>
      <c r="P6" s="172"/>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c r="AP6" s="173"/>
      <c r="AQ6" s="173"/>
      <c r="AR6" s="173"/>
      <c r="AS6" s="173"/>
      <c r="AT6" s="173"/>
      <c r="AU6" s="173"/>
      <c r="AV6" s="173"/>
      <c r="AW6" s="173"/>
      <c r="AX6" s="173"/>
      <c r="AY6" s="173"/>
      <c r="AZ6" s="173"/>
      <c r="BA6" s="173"/>
      <c r="BB6" s="173"/>
      <c r="BC6" s="173"/>
      <c r="BD6" s="173"/>
      <c r="BE6" s="173"/>
      <c r="BF6" s="173"/>
      <c r="BG6" s="173"/>
      <c r="BH6" s="173"/>
      <c r="BI6" s="173"/>
      <c r="BJ6" s="174"/>
      <c r="BM6" s="29"/>
    </row>
    <row r="7" spans="1:66" ht="25" customHeight="1" x14ac:dyDescent="0.2">
      <c r="BM7" s="29"/>
    </row>
    <row r="8" spans="1:66" ht="25" customHeight="1" x14ac:dyDescent="0.2">
      <c r="C8" s="163" t="s">
        <v>1</v>
      </c>
      <c r="D8" s="164"/>
      <c r="E8" s="164"/>
      <c r="F8" s="164"/>
      <c r="G8" s="165"/>
      <c r="H8" s="138" t="s">
        <v>47</v>
      </c>
      <c r="I8" s="138"/>
      <c r="J8" s="138"/>
      <c r="K8" s="138"/>
      <c r="L8" s="138"/>
      <c r="M8" s="138" t="s">
        <v>48</v>
      </c>
      <c r="N8" s="138"/>
      <c r="O8" s="138"/>
      <c r="P8" s="138"/>
      <c r="Q8" s="138"/>
      <c r="R8" s="138" t="s">
        <v>49</v>
      </c>
      <c r="S8" s="138"/>
      <c r="T8" s="138"/>
      <c r="U8" s="138"/>
      <c r="V8" s="138"/>
      <c r="W8" s="138"/>
      <c r="X8" s="138"/>
      <c r="Y8" s="138"/>
      <c r="Z8" s="138"/>
      <c r="AA8" s="138"/>
      <c r="AB8" s="138"/>
      <c r="AC8" s="138"/>
      <c r="AD8" s="138"/>
      <c r="AE8" s="138"/>
      <c r="AF8" s="138"/>
      <c r="AG8" s="138" t="s">
        <v>50</v>
      </c>
      <c r="AH8" s="138"/>
      <c r="AI8" s="138"/>
      <c r="AJ8" s="138"/>
      <c r="AK8" s="138"/>
      <c r="AL8" s="138"/>
      <c r="AM8" s="138"/>
      <c r="AN8" s="138"/>
      <c r="AO8" s="138"/>
      <c r="AP8" s="138"/>
      <c r="AQ8" s="138"/>
      <c r="AR8" s="138"/>
      <c r="AS8" s="138"/>
      <c r="AT8" s="138"/>
      <c r="AU8" s="138"/>
      <c r="AV8" s="138" t="s">
        <v>51</v>
      </c>
      <c r="AW8" s="138"/>
      <c r="AX8" s="138"/>
      <c r="AY8" s="138"/>
      <c r="AZ8" s="138"/>
      <c r="BA8" s="138"/>
      <c r="BB8" s="138"/>
      <c r="BC8" s="138"/>
      <c r="BD8" s="138"/>
      <c r="BE8" s="138"/>
      <c r="BF8" s="138"/>
      <c r="BG8" s="138"/>
      <c r="BH8" s="138"/>
      <c r="BI8" s="138"/>
      <c r="BJ8" s="138"/>
      <c r="BM8" s="29"/>
    </row>
    <row r="9" spans="1:66" ht="25" customHeight="1" x14ac:dyDescent="0.2">
      <c r="B9" s="18">
        <f>COUNTA(C9:BJ9)</f>
        <v>0</v>
      </c>
      <c r="C9" s="107"/>
      <c r="D9" s="107"/>
      <c r="E9" s="107"/>
      <c r="F9" s="107"/>
      <c r="G9" s="107"/>
      <c r="H9" s="107"/>
      <c r="I9" s="107"/>
      <c r="J9" s="107"/>
      <c r="K9" s="107"/>
      <c r="L9" s="107"/>
      <c r="M9" s="139"/>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M9" s="29"/>
    </row>
    <row r="10" spans="1:66" ht="25" customHeight="1" x14ac:dyDescent="0.2">
      <c r="B10" s="18">
        <f>COUNTA(C10:BJ10)</f>
        <v>0</v>
      </c>
      <c r="C10" s="107"/>
      <c r="D10" s="107"/>
      <c r="E10" s="107"/>
      <c r="F10" s="107"/>
      <c r="G10" s="107"/>
      <c r="H10" s="107"/>
      <c r="I10" s="107"/>
      <c r="J10" s="107"/>
      <c r="K10" s="107"/>
      <c r="L10" s="107"/>
      <c r="M10" s="139"/>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M10" s="29"/>
    </row>
    <row r="11" spans="1:66" ht="25" customHeight="1" x14ac:dyDescent="0.2">
      <c r="B11" s="18">
        <f>COUNTA(C11:BJ11)</f>
        <v>0</v>
      </c>
      <c r="C11" s="102"/>
      <c r="D11" s="102"/>
      <c r="E11" s="102"/>
      <c r="F11" s="102"/>
      <c r="G11" s="102"/>
      <c r="H11" s="102"/>
      <c r="I11" s="102"/>
      <c r="J11" s="102"/>
      <c r="K11" s="102"/>
      <c r="L11" s="102"/>
      <c r="M11" s="194"/>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9"/>
      <c r="BM11" s="29"/>
    </row>
    <row r="12" spans="1:66" ht="25" customHeight="1" x14ac:dyDescent="0.2">
      <c r="C12" s="131" t="s">
        <v>52</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74" t="s">
        <v>53</v>
      </c>
      <c r="BH12" s="75"/>
      <c r="BI12" s="74" t="s">
        <v>54</v>
      </c>
      <c r="BJ12" s="75"/>
      <c r="BM12" s="29">
        <v>1</v>
      </c>
    </row>
    <row r="13" spans="1:66" ht="25" customHeight="1" x14ac:dyDescent="0.2">
      <c r="C13" s="9"/>
      <c r="D13" s="9"/>
      <c r="E13" s="9"/>
      <c r="K13" s="9"/>
      <c r="L13" s="9"/>
      <c r="M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M13" s="29"/>
    </row>
    <row r="14" spans="1:66" ht="16" thickBot="1" x14ac:dyDescent="0.25">
      <c r="C14" s="22" t="s">
        <v>99</v>
      </c>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M14" s="29"/>
    </row>
    <row r="15" spans="1:66" ht="15" customHeight="1" x14ac:dyDescent="0.2">
      <c r="BM15" s="29"/>
    </row>
    <row r="16" spans="1:66" ht="25" customHeight="1" x14ac:dyDescent="0.2">
      <c r="C16" s="76" t="s">
        <v>100</v>
      </c>
      <c r="D16" s="77"/>
      <c r="E16" s="77"/>
      <c r="F16" s="77"/>
      <c r="G16" s="77"/>
      <c r="H16" s="77"/>
      <c r="I16" s="77"/>
      <c r="J16" s="77"/>
      <c r="K16" s="77"/>
      <c r="L16" s="77"/>
      <c r="M16" s="77"/>
      <c r="N16" s="78"/>
      <c r="O16" s="175" t="str">
        <f>IF(TRIM(PlanPruebas!O16)="","",TRIM(PlanPruebas!O16))</f>
        <v/>
      </c>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7"/>
      <c r="BM16" s="29"/>
    </row>
    <row r="17" spans="2:67" ht="25" customHeight="1" x14ac:dyDescent="0.2">
      <c r="C17" s="76" t="s">
        <v>101</v>
      </c>
      <c r="D17" s="77"/>
      <c r="E17" s="77"/>
      <c r="F17" s="77"/>
      <c r="G17" s="77"/>
      <c r="H17" s="77"/>
      <c r="I17" s="77"/>
      <c r="J17" s="77"/>
      <c r="K17" s="77"/>
      <c r="L17" s="77"/>
      <c r="M17" s="77"/>
      <c r="N17" s="78"/>
      <c r="O17" s="175" t="str">
        <f>IF(TRIM(PlanPruebas!O17)="","",TRIM(PlanPruebas!O17))</f>
        <v>Proyecto like me E-comerce</v>
      </c>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7"/>
      <c r="BM17" s="29"/>
      <c r="BN17" s="30"/>
      <c r="BO17" s="30"/>
    </row>
    <row r="18" spans="2:67" ht="25" customHeight="1" x14ac:dyDescent="0.2">
      <c r="C18" s="76" t="s">
        <v>102</v>
      </c>
      <c r="D18" s="77"/>
      <c r="E18" s="77"/>
      <c r="F18" s="77"/>
      <c r="G18" s="77"/>
      <c r="H18" s="77"/>
      <c r="I18" s="77"/>
      <c r="J18" s="77"/>
      <c r="K18" s="77"/>
      <c r="L18" s="77"/>
      <c r="M18" s="77"/>
      <c r="N18" s="78"/>
      <c r="O18" s="175" t="str">
        <f>IF(TRIM(PlanPruebas!O18)="","",TRIM(PlanPruebas!O18))</f>
        <v/>
      </c>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7"/>
      <c r="BM18" s="29"/>
    </row>
    <row r="19" spans="2:67" ht="25" customHeight="1" x14ac:dyDescent="0.2">
      <c r="B19" s="19"/>
      <c r="C19" s="178" t="s">
        <v>103</v>
      </c>
      <c r="D19" s="179"/>
      <c r="E19" s="179"/>
      <c r="F19" s="179"/>
      <c r="G19" s="179"/>
      <c r="H19" s="179"/>
      <c r="I19" s="179"/>
      <c r="J19" s="179"/>
      <c r="K19" s="179"/>
      <c r="L19" s="179"/>
      <c r="M19" s="179"/>
      <c r="N19" s="180"/>
      <c r="O19" s="181" t="str">
        <f>IF(TRIM(PlanPruebas!O19)="","",TRIM(PlanPruebas!O19))</f>
        <v>Luis Fernando Pineda Urrego</v>
      </c>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3"/>
      <c r="BK19" s="19"/>
      <c r="BM19" s="29"/>
    </row>
    <row r="20" spans="2:67" ht="25" customHeight="1" x14ac:dyDescent="0.2">
      <c r="C20" s="130" t="s">
        <v>104</v>
      </c>
      <c r="D20" s="130"/>
      <c r="E20" s="130"/>
      <c r="F20" s="130"/>
      <c r="G20" s="130"/>
      <c r="H20" s="130"/>
      <c r="I20" s="130"/>
      <c r="J20" s="130"/>
      <c r="K20" s="130"/>
      <c r="L20" s="130"/>
      <c r="M20" s="130"/>
      <c r="N20" s="130"/>
      <c r="O20" s="188"/>
      <c r="P20" s="188"/>
      <c r="Q20" s="188"/>
      <c r="R20" s="188"/>
      <c r="S20" s="188"/>
      <c r="T20" s="188"/>
      <c r="U20" s="188"/>
      <c r="V20" s="188"/>
      <c r="W20" s="188"/>
      <c r="X20" s="188"/>
      <c r="Y20" s="188"/>
      <c r="Z20" s="188"/>
      <c r="AA20" s="188"/>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M20" s="29"/>
    </row>
    <row r="21" spans="2:67" ht="25" customHeight="1" x14ac:dyDescent="0.2">
      <c r="C21" s="130" t="s">
        <v>1</v>
      </c>
      <c r="D21" s="130"/>
      <c r="E21" s="130"/>
      <c r="F21" s="130"/>
      <c r="G21" s="130"/>
      <c r="H21" s="130"/>
      <c r="I21" s="130"/>
      <c r="J21" s="130"/>
      <c r="K21" s="130"/>
      <c r="L21" s="130"/>
      <c r="M21" s="130"/>
      <c r="N21" s="130"/>
      <c r="O21" s="188"/>
      <c r="P21" s="188"/>
      <c r="Q21" s="188"/>
      <c r="R21" s="188"/>
      <c r="S21" s="188"/>
      <c r="T21" s="188"/>
      <c r="U21" s="188"/>
      <c r="V21" s="188"/>
      <c r="W21" s="188"/>
      <c r="X21" s="188"/>
      <c r="Y21" s="188"/>
      <c r="Z21" s="188"/>
      <c r="AA21" s="188"/>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M21" s="29"/>
    </row>
    <row r="22" spans="2:67" ht="25" customHeight="1" x14ac:dyDescent="0.2">
      <c r="C22" s="3"/>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BM22" s="29"/>
    </row>
    <row r="23" spans="2:67" ht="39" customHeight="1" x14ac:dyDescent="0.2">
      <c r="C23" s="189" t="str">
        <f xml:space="preserve"> TRIM(O19) &amp; " quien participó como Analista de Pruebas del producto de pruebas " &amp; TRIM(O20) &amp; " por parte de Choucair Testing S.A., le confirma a " &amp; TRIM(O16) &amp; " que se ejecutaron satisfactoriamente todos los casos y pasos de prueba diseñados para la versión " &amp; TRIM(O21) &amp; " del proyecto " &amp; TRIM(O17) &amp; ", de acuerdo con el siguiente alcance especificado en el Plan General:"</f>
        <v>Luis Fernando Pineda Urrego quien participó como Analista de Pruebas del producto de pruebas  por parte de Choucair Testing S.A., le confirma a  que se ejecutaron satisfactoriamente todos los casos y pasos de prueba diseñados para la versión  del proyecto Proyecto like me E-comerce, de acuerdo con el siguiente alcance especificado en el Plan General:</v>
      </c>
      <c r="D23" s="189"/>
      <c r="E23" s="189"/>
      <c r="F23" s="189"/>
      <c r="G23" s="189"/>
      <c r="H23" s="189"/>
      <c r="I23" s="189"/>
      <c r="J23" s="189"/>
      <c r="K23" s="189"/>
      <c r="L23" s="189"/>
      <c r="M23" s="189"/>
      <c r="N23" s="189"/>
      <c r="O23" s="189"/>
      <c r="P23" s="189"/>
      <c r="Q23" s="189"/>
      <c r="R23" s="189"/>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M23" s="29"/>
    </row>
    <row r="24" spans="2:67" ht="15" customHeight="1" x14ac:dyDescent="0.2">
      <c r="C24" s="3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M24" s="29"/>
    </row>
    <row r="25" spans="2:67" s="38" customFormat="1" ht="25" customHeight="1" x14ac:dyDescent="0.2">
      <c r="B25" s="41">
        <v>0</v>
      </c>
      <c r="C25" s="184" t="str">
        <f>IF(TRIM(PlanPruebas!C74)="","",TRIM(PlanPruebas!C74))</f>
        <v/>
      </c>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M25" s="29"/>
    </row>
    <row r="26" spans="2:67" s="38" customFormat="1" ht="25" customHeight="1" x14ac:dyDescent="0.2">
      <c r="B26" s="41">
        <v>0</v>
      </c>
      <c r="C26" s="184" t="str">
        <f>IF(TRIM(PlanPruebas!C75)="","",TRIM(PlanPruebas!C75))</f>
        <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M26" s="29"/>
    </row>
    <row r="27" spans="2:67" s="38" customFormat="1" ht="25" customHeight="1" x14ac:dyDescent="0.2">
      <c r="B27" s="42">
        <v>0</v>
      </c>
      <c r="C27" s="185" t="str">
        <f>IF(TRIM(PlanPruebas!C76)="","",TRIM(PlanPruebas!C76))</f>
        <v/>
      </c>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M27" s="29"/>
    </row>
    <row r="28" spans="2:67" s="38" customFormat="1" ht="15" customHeight="1" x14ac:dyDescent="0.2">
      <c r="C28" s="35"/>
      <c r="D28" s="39"/>
      <c r="E28" s="39"/>
      <c r="F28" s="39"/>
      <c r="G28" s="40"/>
      <c r="H28" s="39"/>
      <c r="I28" s="39"/>
      <c r="J28" s="39"/>
      <c r="K28" s="40"/>
      <c r="L28" s="39"/>
      <c r="M28" s="39"/>
      <c r="N28" s="39"/>
      <c r="O28" s="40"/>
      <c r="P28" s="39"/>
      <c r="Q28" s="39"/>
      <c r="R28" s="39"/>
      <c r="S28" s="40"/>
      <c r="T28" s="39"/>
      <c r="U28" s="39"/>
      <c r="V28" s="39"/>
      <c r="W28" s="40"/>
      <c r="X28" s="39"/>
      <c r="Y28" s="39"/>
      <c r="Z28" s="39"/>
      <c r="AA28" s="40"/>
      <c r="AB28" s="39"/>
      <c r="AC28" s="39"/>
      <c r="AD28" s="39"/>
      <c r="AE28" s="40"/>
      <c r="AF28" s="39"/>
      <c r="AG28" s="39"/>
      <c r="AH28" s="39"/>
      <c r="AI28" s="39"/>
      <c r="AJ28" s="39"/>
      <c r="AK28" s="39"/>
      <c r="AL28" s="39"/>
      <c r="AM28" s="39"/>
      <c r="AN28" s="39"/>
      <c r="BM28" s="29"/>
    </row>
    <row r="29" spans="2:67" s="38" customFormat="1" ht="15" customHeight="1" x14ac:dyDescent="0.2">
      <c r="C29" s="190" t="s">
        <v>105</v>
      </c>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M29" s="29"/>
    </row>
    <row r="30" spans="2:67" s="38" customFormat="1" ht="15" customHeight="1" x14ac:dyDescent="0.2">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M30" s="29"/>
    </row>
    <row r="31" spans="2:67" s="38" customFormat="1" ht="25" customHeight="1" x14ac:dyDescent="0.2">
      <c r="B31" s="41">
        <v>0</v>
      </c>
      <c r="C31" s="184" t="str">
        <f>IF(TRIM(PlanPruebas!C89)="","",TRIM(PlanPruebas!C89))</f>
        <v>No se tendrá en cuenta los distintos modulos y perfiles distintos al flujo de paros y atención del paro.
No se tendrá en cuenta las pruebas de seguridad requeridad para el aplicativo, ya que estas deben ser realizadas por el analista de seguridad.
No se tendrá en cuenta las pruebas performance del aplicativo en esta planeación de pruebas.</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M31" s="29"/>
    </row>
    <row r="32" spans="2:67" s="38" customFormat="1" ht="25" customHeight="1" x14ac:dyDescent="0.2">
      <c r="B32" s="41">
        <v>0</v>
      </c>
      <c r="C32" s="184" t="str">
        <f>IF(TRIM(PlanPruebas!C90)="","",TRIM(PlanPruebas!C90))</f>
        <v/>
      </c>
      <c r="D32" s="184"/>
      <c r="E32" s="184"/>
      <c r="F32" s="184"/>
      <c r="G32" s="184"/>
      <c r="H32" s="184"/>
      <c r="I32" s="184"/>
      <c r="J32" s="184"/>
      <c r="K32" s="184"/>
      <c r="L32" s="184"/>
      <c r="M32" s="184"/>
      <c r="N32" s="184"/>
      <c r="O32" s="184"/>
      <c r="P32" s="184"/>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M32" s="29"/>
    </row>
    <row r="33" spans="2:65" s="38" customFormat="1" ht="25" customHeight="1" x14ac:dyDescent="0.2">
      <c r="B33" s="42">
        <v>0</v>
      </c>
      <c r="C33" s="185" t="str">
        <f>IF(TRIM(PlanPruebas!C91)="","",TRIM(PlanPruebas!C91))</f>
        <v/>
      </c>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c r="AH33" s="185"/>
      <c r="AI33" s="185"/>
      <c r="AJ33" s="185"/>
      <c r="AK33" s="185"/>
      <c r="AL33" s="185"/>
      <c r="AM33" s="185"/>
      <c r="AN33" s="185"/>
      <c r="AO33" s="185"/>
      <c r="AP33" s="185"/>
      <c r="AQ33" s="185"/>
      <c r="AR33" s="185"/>
      <c r="AS33" s="185"/>
      <c r="AT33" s="185"/>
      <c r="AU33" s="185"/>
      <c r="AV33" s="185"/>
      <c r="AW33" s="185"/>
      <c r="AX33" s="185"/>
      <c r="AY33" s="185"/>
      <c r="AZ33" s="185"/>
      <c r="BA33" s="185"/>
      <c r="BB33" s="185"/>
      <c r="BC33" s="185"/>
      <c r="BD33" s="185"/>
      <c r="BE33" s="185"/>
      <c r="BF33" s="185"/>
      <c r="BG33" s="185"/>
      <c r="BH33" s="185"/>
      <c r="BI33" s="185"/>
      <c r="BJ33" s="185"/>
      <c r="BM33" s="29"/>
    </row>
    <row r="34" spans="2:65" ht="15" customHeight="1" x14ac:dyDescent="0.2">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M34" s="29"/>
    </row>
    <row r="35" spans="2:65" ht="30" customHeight="1" x14ac:dyDescent="0.2">
      <c r="C35" s="190" t="s">
        <v>125</v>
      </c>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0"/>
      <c r="AJ35" s="190"/>
      <c r="AK35" s="190"/>
      <c r="AL35" s="190"/>
      <c r="AM35" s="190"/>
      <c r="AN35" s="190"/>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M35" s="29"/>
    </row>
    <row r="36" spans="2:65" ht="15" customHeight="1" x14ac:dyDescent="0.2">
      <c r="C36" s="9"/>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M36" s="29"/>
    </row>
    <row r="37" spans="2:65" ht="15" customHeight="1" x14ac:dyDescent="0.2">
      <c r="C37" s="36" t="s">
        <v>111</v>
      </c>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M37" s="29"/>
    </row>
    <row r="38" spans="2:65" ht="15" customHeight="1" x14ac:dyDescent="0.2">
      <c r="C38" s="37" t="s">
        <v>107</v>
      </c>
      <c r="D38" s="36" t="s">
        <v>112</v>
      </c>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M38" s="29"/>
    </row>
    <row r="39" spans="2:65" ht="15" customHeight="1" x14ac:dyDescent="0.2">
      <c r="C39" s="37" t="s">
        <v>107</v>
      </c>
      <c r="D39" s="36" t="s">
        <v>113</v>
      </c>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M39" s="29"/>
    </row>
    <row r="40" spans="2:65" ht="15" customHeight="1" x14ac:dyDescent="0.2">
      <c r="C40" s="37" t="s">
        <v>107</v>
      </c>
      <c r="D40" s="36" t="s">
        <v>114</v>
      </c>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M40" s="29"/>
    </row>
    <row r="41" spans="2:65" ht="15" customHeight="1" x14ac:dyDescent="0.2">
      <c r="C41" s="37" t="s">
        <v>107</v>
      </c>
      <c r="D41" s="36" t="s">
        <v>115</v>
      </c>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M41" s="29"/>
    </row>
    <row r="42" spans="2:65" ht="15" customHeight="1" x14ac:dyDescent="0.2">
      <c r="C42" s="37" t="s">
        <v>107</v>
      </c>
      <c r="D42" s="36" t="s">
        <v>116</v>
      </c>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M42" s="29"/>
    </row>
    <row r="43" spans="2:65" ht="15" customHeight="1" x14ac:dyDescent="0.2">
      <c r="C43" s="9"/>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M43" s="29"/>
    </row>
    <row r="44" spans="2:65" ht="15" customHeight="1" x14ac:dyDescent="0.2">
      <c r="C44" s="36" t="s">
        <v>126</v>
      </c>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M44" s="29"/>
    </row>
    <row r="45" spans="2:65" x14ac:dyDescent="0.2">
      <c r="C45" s="3"/>
      <c r="D45" s="21"/>
      <c r="E45" s="21"/>
      <c r="F45" s="21"/>
      <c r="G45" s="3"/>
      <c r="H45" s="21"/>
      <c r="I45" s="3"/>
      <c r="J45" s="21"/>
      <c r="K45" s="21"/>
      <c r="L45" s="21"/>
      <c r="M45" s="3"/>
      <c r="N45" s="21"/>
      <c r="O45" s="3"/>
      <c r="P45" s="21"/>
      <c r="Q45" s="21"/>
      <c r="R45" s="21"/>
      <c r="S45" s="3"/>
      <c r="T45" s="3"/>
      <c r="U45" s="21"/>
      <c r="V45" s="21"/>
      <c r="W45" s="21"/>
      <c r="X45" s="3"/>
      <c r="Y45" s="21"/>
      <c r="Z45" s="3"/>
      <c r="AA45" s="21"/>
      <c r="AB45" s="21"/>
      <c r="AC45" s="21"/>
      <c r="AD45" s="3"/>
      <c r="AE45" s="21"/>
      <c r="AF45" s="3"/>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M45" s="29"/>
    </row>
    <row r="46" spans="2:65" ht="25" customHeight="1" x14ac:dyDescent="0.2">
      <c r="C46" s="163" t="s">
        <v>127</v>
      </c>
      <c r="D46" s="164"/>
      <c r="E46" s="164"/>
      <c r="F46" s="164"/>
      <c r="G46" s="164"/>
      <c r="H46" s="164"/>
      <c r="I46" s="164"/>
      <c r="J46" s="164"/>
      <c r="K46" s="164"/>
      <c r="L46" s="164"/>
      <c r="M46" s="164"/>
      <c r="N46" s="164"/>
      <c r="O46" s="164"/>
      <c r="P46" s="164"/>
      <c r="Q46" s="195" t="s">
        <v>128</v>
      </c>
      <c r="R46" s="196"/>
      <c r="S46" s="197"/>
      <c r="T46" s="163" t="s">
        <v>129</v>
      </c>
      <c r="U46" s="164"/>
      <c r="V46" s="164"/>
      <c r="W46" s="164"/>
      <c r="X46" s="164"/>
      <c r="Y46" s="164"/>
      <c r="Z46" s="164"/>
      <c r="AA46" s="164"/>
      <c r="AB46" s="164"/>
      <c r="AC46" s="164"/>
      <c r="AD46" s="164"/>
      <c r="AE46" s="164"/>
      <c r="AF46" s="164"/>
      <c r="AG46" s="165"/>
      <c r="AH46" s="196" t="s">
        <v>130</v>
      </c>
      <c r="AI46" s="196"/>
      <c r="AJ46" s="197"/>
      <c r="AK46" s="163" t="s">
        <v>68</v>
      </c>
      <c r="AL46" s="164"/>
      <c r="AM46" s="164"/>
      <c r="AN46" s="164"/>
      <c r="AO46" s="164"/>
      <c r="AP46" s="164"/>
      <c r="AQ46" s="164"/>
      <c r="AR46" s="164"/>
      <c r="AS46" s="164"/>
      <c r="AT46" s="164"/>
      <c r="AU46" s="164"/>
      <c r="AV46" s="164"/>
      <c r="AW46" s="165"/>
      <c r="AX46" s="163" t="s">
        <v>131</v>
      </c>
      <c r="AY46" s="164"/>
      <c r="AZ46" s="164"/>
      <c r="BA46" s="164"/>
      <c r="BB46" s="164"/>
      <c r="BC46" s="164"/>
      <c r="BD46" s="164"/>
      <c r="BE46" s="164"/>
      <c r="BF46" s="164"/>
      <c r="BG46" s="164"/>
      <c r="BH46" s="164"/>
      <c r="BI46" s="164"/>
      <c r="BJ46" s="165"/>
      <c r="BM46" s="29"/>
    </row>
    <row r="47" spans="2:65" ht="25" customHeight="1" x14ac:dyDescent="0.2">
      <c r="B47" s="18">
        <f>COUNTA(C47:BJ47)</f>
        <v>0</v>
      </c>
      <c r="C47" s="191"/>
      <c r="D47" s="192"/>
      <c r="E47" s="192"/>
      <c r="F47" s="192"/>
      <c r="G47" s="192"/>
      <c r="H47" s="192"/>
      <c r="I47" s="192"/>
      <c r="J47" s="192"/>
      <c r="K47" s="192"/>
      <c r="L47" s="192"/>
      <c r="M47" s="192"/>
      <c r="N47" s="192"/>
      <c r="O47" s="192"/>
      <c r="P47" s="192"/>
      <c r="Q47" s="198"/>
      <c r="R47" s="199"/>
      <c r="S47" s="200"/>
      <c r="T47" s="191"/>
      <c r="U47" s="192"/>
      <c r="V47" s="192"/>
      <c r="W47" s="192"/>
      <c r="X47" s="192"/>
      <c r="Y47" s="192"/>
      <c r="Z47" s="192"/>
      <c r="AA47" s="192"/>
      <c r="AB47" s="192"/>
      <c r="AC47" s="192"/>
      <c r="AD47" s="192"/>
      <c r="AE47" s="192"/>
      <c r="AF47" s="192"/>
      <c r="AG47" s="193"/>
      <c r="AH47" s="204"/>
      <c r="AI47" s="205"/>
      <c r="AJ47" s="206"/>
      <c r="AK47" s="191"/>
      <c r="AL47" s="192"/>
      <c r="AM47" s="192"/>
      <c r="AN47" s="192"/>
      <c r="AO47" s="192"/>
      <c r="AP47" s="192"/>
      <c r="AQ47" s="192"/>
      <c r="AR47" s="192"/>
      <c r="AS47" s="192"/>
      <c r="AT47" s="192"/>
      <c r="AU47" s="192"/>
      <c r="AV47" s="192"/>
      <c r="AW47" s="193"/>
      <c r="AX47" s="191"/>
      <c r="AY47" s="192"/>
      <c r="AZ47" s="192"/>
      <c r="BA47" s="192"/>
      <c r="BB47" s="192"/>
      <c r="BC47" s="192"/>
      <c r="BD47" s="192"/>
      <c r="BE47" s="192"/>
      <c r="BF47" s="192"/>
      <c r="BG47" s="192"/>
      <c r="BH47" s="192"/>
      <c r="BI47" s="192"/>
      <c r="BJ47" s="193"/>
      <c r="BM47" s="29"/>
    </row>
    <row r="48" spans="2:65" ht="25" customHeight="1" x14ac:dyDescent="0.2">
      <c r="B48" s="18">
        <f>COUNTA(C48:BJ48)</f>
        <v>0</v>
      </c>
      <c r="C48" s="191"/>
      <c r="D48" s="192"/>
      <c r="E48" s="192"/>
      <c r="F48" s="192"/>
      <c r="G48" s="192"/>
      <c r="H48" s="192"/>
      <c r="I48" s="192"/>
      <c r="J48" s="192"/>
      <c r="K48" s="192"/>
      <c r="L48" s="192"/>
      <c r="M48" s="192"/>
      <c r="N48" s="192"/>
      <c r="O48" s="192"/>
      <c r="P48" s="192"/>
      <c r="Q48" s="198"/>
      <c r="R48" s="199"/>
      <c r="S48" s="200"/>
      <c r="T48" s="191"/>
      <c r="U48" s="192"/>
      <c r="V48" s="192"/>
      <c r="W48" s="192"/>
      <c r="X48" s="192"/>
      <c r="Y48" s="192"/>
      <c r="Z48" s="192"/>
      <c r="AA48" s="192"/>
      <c r="AB48" s="192"/>
      <c r="AC48" s="192"/>
      <c r="AD48" s="192"/>
      <c r="AE48" s="192"/>
      <c r="AF48" s="192"/>
      <c r="AG48" s="193"/>
      <c r="AH48" s="204"/>
      <c r="AI48" s="205"/>
      <c r="AJ48" s="206"/>
      <c r="AK48" s="191"/>
      <c r="AL48" s="192"/>
      <c r="AM48" s="192"/>
      <c r="AN48" s="192"/>
      <c r="AO48" s="192"/>
      <c r="AP48" s="192"/>
      <c r="AQ48" s="192"/>
      <c r="AR48" s="192"/>
      <c r="AS48" s="192"/>
      <c r="AT48" s="192"/>
      <c r="AU48" s="192"/>
      <c r="AV48" s="192"/>
      <c r="AW48" s="193"/>
      <c r="AX48" s="191"/>
      <c r="AY48" s="192"/>
      <c r="AZ48" s="192"/>
      <c r="BA48" s="192"/>
      <c r="BB48" s="192"/>
      <c r="BC48" s="192"/>
      <c r="BD48" s="192"/>
      <c r="BE48" s="192"/>
      <c r="BF48" s="192"/>
      <c r="BG48" s="192"/>
      <c r="BH48" s="192"/>
      <c r="BI48" s="192"/>
      <c r="BJ48" s="193"/>
      <c r="BM48" s="29"/>
    </row>
    <row r="49" spans="2:65" ht="25" customHeight="1" x14ac:dyDescent="0.2">
      <c r="B49" s="18">
        <f>COUNTA(C49:BJ49)</f>
        <v>0</v>
      </c>
      <c r="C49" s="191"/>
      <c r="D49" s="192"/>
      <c r="E49" s="192"/>
      <c r="F49" s="192"/>
      <c r="G49" s="192"/>
      <c r="H49" s="192"/>
      <c r="I49" s="192"/>
      <c r="J49" s="192"/>
      <c r="K49" s="192"/>
      <c r="L49" s="192"/>
      <c r="M49" s="192"/>
      <c r="N49" s="192"/>
      <c r="O49" s="192"/>
      <c r="P49" s="192"/>
      <c r="Q49" s="198"/>
      <c r="R49" s="199"/>
      <c r="S49" s="200"/>
      <c r="T49" s="191"/>
      <c r="U49" s="192"/>
      <c r="V49" s="192"/>
      <c r="W49" s="192"/>
      <c r="X49" s="192"/>
      <c r="Y49" s="192"/>
      <c r="Z49" s="192"/>
      <c r="AA49" s="192"/>
      <c r="AB49" s="192"/>
      <c r="AC49" s="192"/>
      <c r="AD49" s="192"/>
      <c r="AE49" s="192"/>
      <c r="AF49" s="192"/>
      <c r="AG49" s="193"/>
      <c r="AH49" s="204"/>
      <c r="AI49" s="205"/>
      <c r="AJ49" s="206"/>
      <c r="AK49" s="191"/>
      <c r="AL49" s="192"/>
      <c r="AM49" s="192"/>
      <c r="AN49" s="192"/>
      <c r="AO49" s="192"/>
      <c r="AP49" s="192"/>
      <c r="AQ49" s="192"/>
      <c r="AR49" s="192"/>
      <c r="AS49" s="192"/>
      <c r="AT49" s="192"/>
      <c r="AU49" s="192"/>
      <c r="AV49" s="192"/>
      <c r="AW49" s="193"/>
      <c r="AX49" s="191"/>
      <c r="AY49" s="192"/>
      <c r="AZ49" s="192"/>
      <c r="BA49" s="192"/>
      <c r="BB49" s="192"/>
      <c r="BC49" s="192"/>
      <c r="BD49" s="192"/>
      <c r="BE49" s="192"/>
      <c r="BF49" s="192"/>
      <c r="BG49" s="192"/>
      <c r="BH49" s="192"/>
      <c r="BI49" s="192"/>
      <c r="BJ49" s="193"/>
      <c r="BM49" s="29"/>
    </row>
    <row r="50" spans="2:65" ht="25" customHeight="1" x14ac:dyDescent="0.2">
      <c r="C50" s="131" t="s">
        <v>52</v>
      </c>
      <c r="D50" s="131"/>
      <c r="E50" s="131"/>
      <c r="F50" s="131"/>
      <c r="G50" s="131"/>
      <c r="H50" s="131"/>
      <c r="I50" s="131"/>
      <c r="J50" s="131"/>
      <c r="K50" s="131"/>
      <c r="L50" s="131"/>
      <c r="M50" s="131"/>
      <c r="N50" s="131"/>
      <c r="O50" s="131"/>
      <c r="P50" s="131"/>
      <c r="Q50" s="131"/>
      <c r="R50" s="131"/>
      <c r="S50" s="131"/>
      <c r="T50" s="131"/>
      <c r="U50" s="131"/>
      <c r="V50" s="131"/>
      <c r="W50" s="131"/>
      <c r="X50" s="131"/>
      <c r="Y50" s="131"/>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c r="AY50" s="131"/>
      <c r="AZ50" s="131"/>
      <c r="BA50" s="131"/>
      <c r="BB50" s="131"/>
      <c r="BC50" s="131"/>
      <c r="BD50" s="131"/>
      <c r="BE50" s="131"/>
      <c r="BF50" s="131"/>
      <c r="BG50" s="74" t="s">
        <v>53</v>
      </c>
      <c r="BH50" s="75"/>
      <c r="BI50" s="74" t="s">
        <v>54</v>
      </c>
      <c r="BJ50" s="75"/>
      <c r="BM50" s="29">
        <v>1</v>
      </c>
    </row>
    <row r="51" spans="2:65" ht="24.75" customHeight="1" x14ac:dyDescent="0.2">
      <c r="C51" s="3"/>
      <c r="D51" s="21"/>
      <c r="E51" s="21"/>
      <c r="F51" s="21"/>
      <c r="G51" s="3"/>
      <c r="H51" s="21"/>
      <c r="I51" s="21"/>
      <c r="J51" s="21"/>
      <c r="K51" s="3"/>
      <c r="L51" s="21"/>
      <c r="M51" s="21"/>
      <c r="N51" s="21"/>
      <c r="O51" s="3"/>
      <c r="P51" s="21"/>
      <c r="Q51" s="21"/>
      <c r="R51" s="21"/>
      <c r="S51" s="3"/>
      <c r="T51" s="21"/>
      <c r="U51" s="21"/>
      <c r="V51" s="21"/>
      <c r="W51" s="3"/>
      <c r="X51" s="21"/>
      <c r="Y51" s="21"/>
      <c r="Z51" s="21"/>
      <c r="AA51" s="3"/>
      <c r="AB51" s="21"/>
      <c r="AC51" s="21"/>
      <c r="AD51" s="21"/>
      <c r="AE51" s="3"/>
      <c r="AF51" s="21"/>
      <c r="AG51" s="21"/>
      <c r="AH51" s="21"/>
      <c r="AI51" s="21"/>
      <c r="AJ51" s="21"/>
      <c r="AK51" s="21"/>
      <c r="AL51" s="21"/>
      <c r="AM51" s="21"/>
      <c r="AN51" s="21"/>
      <c r="BM51" s="29"/>
    </row>
    <row r="52" spans="2:65" ht="16" thickBot="1" x14ac:dyDescent="0.25">
      <c r="C52" s="22" t="s">
        <v>118</v>
      </c>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M52" s="29" t="str">
        <f>IF($BI$53="No",1,"")</f>
        <v/>
      </c>
    </row>
    <row r="53" spans="2:65" x14ac:dyDescent="0.2">
      <c r="C53" s="26"/>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8" t="s">
        <v>61</v>
      </c>
      <c r="BI53" s="114" t="s">
        <v>62</v>
      </c>
      <c r="BJ53" s="114"/>
      <c r="BM53" s="29">
        <v>1</v>
      </c>
    </row>
    <row r="54" spans="2:65" ht="15" customHeight="1" x14ac:dyDescent="0.2">
      <c r="C54" s="3"/>
      <c r="D54" s="21"/>
      <c r="E54" s="21"/>
      <c r="F54" s="3"/>
      <c r="G54" s="21"/>
      <c r="H54" s="21"/>
      <c r="I54" s="3"/>
      <c r="J54" s="21"/>
      <c r="K54" s="21"/>
      <c r="L54" s="3"/>
      <c r="M54" s="21"/>
      <c r="N54" s="21"/>
      <c r="O54" s="3"/>
      <c r="P54" s="21"/>
      <c r="Q54" s="21"/>
      <c r="R54" s="3"/>
      <c r="S54" s="21"/>
      <c r="T54" s="21"/>
      <c r="U54" s="3"/>
      <c r="V54" s="21"/>
      <c r="W54" s="21"/>
      <c r="X54" s="3"/>
      <c r="Y54" s="21"/>
      <c r="Z54" s="21"/>
      <c r="AA54" s="3"/>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M54" s="29" t="str">
        <f>IF($BI$53="No",1,"")</f>
        <v/>
      </c>
    </row>
    <row r="55" spans="2:65" ht="25" customHeight="1" x14ac:dyDescent="0.2">
      <c r="B55" s="18">
        <f>COUNTA(C55:BJ55)</f>
        <v>0</v>
      </c>
      <c r="C55" s="82"/>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4"/>
      <c r="BM55" s="29" t="str">
        <f>IF($BI$53="No",1,"")</f>
        <v/>
      </c>
    </row>
    <row r="56" spans="2:65" ht="25" customHeight="1" x14ac:dyDescent="0.2">
      <c r="B56" s="18">
        <f>COUNTA(C56:BJ56)</f>
        <v>0</v>
      </c>
      <c r="C56" s="57"/>
      <c r="D56" s="64"/>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59"/>
      <c r="BM56" s="29" t="str">
        <f>IF($BI$53="No",1,"")</f>
        <v/>
      </c>
    </row>
    <row r="57" spans="2:65" ht="25" customHeight="1" x14ac:dyDescent="0.2">
      <c r="B57" s="18">
        <f>COUNTA(C57:BJ57)</f>
        <v>0</v>
      </c>
      <c r="C57" s="65"/>
      <c r="D57" s="55"/>
      <c r="E57" s="55"/>
      <c r="F57" s="55"/>
      <c r="G57" s="55"/>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66"/>
      <c r="BK57" s="19"/>
      <c r="BM57" s="29" t="str">
        <f>IF($BI$53="No",1,"")</f>
        <v/>
      </c>
    </row>
    <row r="58" spans="2:65" ht="25" customHeight="1" x14ac:dyDescent="0.2">
      <c r="C58" s="71" t="s">
        <v>52</v>
      </c>
      <c r="D58" s="72"/>
      <c r="E58" s="72"/>
      <c r="F58" s="72"/>
      <c r="G58" s="72"/>
      <c r="H58" s="72"/>
      <c r="I58" s="72"/>
      <c r="J58" s="72"/>
      <c r="K58" s="72"/>
      <c r="L58" s="72"/>
      <c r="M58" s="72"/>
      <c r="N58" s="72"/>
      <c r="O58" s="72"/>
      <c r="P58" s="72"/>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3"/>
      <c r="BG58" s="74" t="s">
        <v>53</v>
      </c>
      <c r="BH58" s="75"/>
      <c r="BI58" s="74" t="s">
        <v>54</v>
      </c>
      <c r="BJ58" s="75"/>
      <c r="BM58" s="29">
        <v>1</v>
      </c>
    </row>
    <row r="59" spans="2:65" ht="15" customHeight="1" x14ac:dyDescent="0.2">
      <c r="C59" s="3"/>
      <c r="D59" s="21"/>
      <c r="E59" s="21"/>
      <c r="F59" s="21"/>
      <c r="G59" s="3"/>
      <c r="H59" s="21"/>
      <c r="I59" s="21"/>
      <c r="J59" s="21"/>
      <c r="K59" s="3"/>
      <c r="L59" s="21"/>
      <c r="M59" s="21"/>
      <c r="N59" s="21"/>
      <c r="O59" s="3"/>
      <c r="P59" s="21"/>
      <c r="Q59" s="21"/>
      <c r="R59" s="21"/>
      <c r="S59" s="3"/>
      <c r="T59" s="21"/>
      <c r="U59" s="21"/>
      <c r="V59" s="21"/>
      <c r="W59" s="3"/>
      <c r="X59" s="21"/>
      <c r="Y59" s="21"/>
      <c r="Z59" s="21"/>
      <c r="AA59" s="3"/>
      <c r="AB59" s="21"/>
      <c r="AC59" s="21"/>
      <c r="AD59" s="21"/>
      <c r="AE59" s="3"/>
      <c r="AF59" s="21"/>
      <c r="AG59" s="21"/>
      <c r="AH59" s="21"/>
      <c r="AI59" s="21"/>
      <c r="AJ59" s="21"/>
      <c r="AK59" s="21"/>
      <c r="AL59" s="21"/>
      <c r="AM59" s="21"/>
      <c r="AN59" s="21"/>
      <c r="BM59" s="29" t="str">
        <f>IF($BI$53="No",1,"")</f>
        <v/>
      </c>
    </row>
    <row r="60" spans="2:65" ht="15" customHeight="1" x14ac:dyDescent="0.2">
      <c r="C60" s="36" t="s">
        <v>119</v>
      </c>
      <c r="D60" s="21"/>
      <c r="E60" s="21"/>
      <c r="F60" s="21"/>
      <c r="G60" s="3"/>
      <c r="H60" s="21"/>
      <c r="I60" s="21"/>
      <c r="J60" s="21"/>
      <c r="K60" s="3"/>
      <c r="L60" s="21"/>
      <c r="M60" s="21"/>
      <c r="N60" s="21"/>
      <c r="O60" s="3"/>
      <c r="P60" s="21"/>
      <c r="Q60" s="21"/>
      <c r="R60" s="21"/>
      <c r="S60" s="3"/>
      <c r="T60" s="21"/>
      <c r="U60" s="21"/>
      <c r="V60" s="21"/>
      <c r="W60" s="3"/>
      <c r="X60" s="21"/>
      <c r="Y60" s="21"/>
      <c r="Z60" s="21"/>
      <c r="AA60" s="3"/>
      <c r="AB60" s="21"/>
      <c r="AC60" s="21"/>
      <c r="AD60" s="21"/>
      <c r="AE60" s="3"/>
      <c r="AF60" s="21"/>
      <c r="AG60" s="21"/>
      <c r="AH60" s="21"/>
      <c r="AI60" s="21"/>
      <c r="AJ60" s="21"/>
      <c r="AK60" s="21"/>
      <c r="AL60" s="21"/>
      <c r="AM60" s="21"/>
      <c r="AN60" s="21"/>
      <c r="BM60" s="29"/>
    </row>
    <row r="61" spans="2:65" ht="15" customHeight="1" x14ac:dyDescent="0.2">
      <c r="C61" s="21"/>
      <c r="D61" s="21"/>
      <c r="E61" s="21"/>
      <c r="F61" s="21"/>
      <c r="G61" s="21"/>
      <c r="H61" s="21"/>
      <c r="I61" s="21"/>
      <c r="J61" s="21"/>
      <c r="K61" s="21"/>
      <c r="L61" s="21"/>
      <c r="M61" s="21"/>
      <c r="N61" s="21"/>
      <c r="O61" s="21"/>
      <c r="P61" s="21"/>
      <c r="Q61" s="21"/>
      <c r="R61" s="21"/>
      <c r="S61" s="3"/>
      <c r="T61" s="21"/>
      <c r="U61" s="21"/>
      <c r="V61" s="21"/>
      <c r="W61" s="3"/>
      <c r="X61" s="21"/>
      <c r="Y61" s="21"/>
      <c r="Z61" s="21"/>
      <c r="AA61" s="3"/>
      <c r="AB61" s="21"/>
      <c r="AC61" s="21"/>
      <c r="AD61" s="21"/>
      <c r="AE61" s="3"/>
      <c r="AF61" s="21"/>
      <c r="AG61" s="21"/>
      <c r="AH61" s="21"/>
      <c r="AI61" s="21"/>
      <c r="AJ61" s="21"/>
      <c r="AK61" s="21"/>
      <c r="AL61" s="21"/>
      <c r="AM61" s="21"/>
      <c r="AN61" s="21"/>
      <c r="BM61" s="29"/>
    </row>
    <row r="62" spans="2:65" ht="25" customHeight="1" x14ac:dyDescent="0.2">
      <c r="C62" s="163" t="s">
        <v>77</v>
      </c>
      <c r="D62" s="164"/>
      <c r="E62" s="164"/>
      <c r="F62" s="164"/>
      <c r="G62" s="164"/>
      <c r="H62" s="164"/>
      <c r="I62" s="164"/>
      <c r="J62" s="164"/>
      <c r="K62" s="164"/>
      <c r="L62" s="164"/>
      <c r="M62" s="164"/>
      <c r="N62" s="164"/>
      <c r="O62" s="164"/>
      <c r="P62" s="164"/>
      <c r="Q62" s="165"/>
      <c r="R62" s="138" t="s">
        <v>120</v>
      </c>
      <c r="S62" s="138"/>
      <c r="T62" s="138"/>
      <c r="U62" s="138"/>
      <c r="V62" s="138"/>
      <c r="W62" s="138"/>
      <c r="X62" s="138"/>
      <c r="Y62" s="138"/>
      <c r="Z62" s="138"/>
      <c r="AA62" s="138"/>
      <c r="AB62" s="138"/>
      <c r="AC62" s="138"/>
      <c r="AD62" s="138"/>
      <c r="AE62" s="138"/>
      <c r="AF62" s="138"/>
      <c r="AG62" s="138" t="s">
        <v>121</v>
      </c>
      <c r="AH62" s="138"/>
      <c r="AI62" s="138"/>
      <c r="AJ62" s="138"/>
      <c r="AK62" s="138"/>
      <c r="AL62" s="138"/>
      <c r="AM62" s="138"/>
      <c r="AN62" s="138"/>
      <c r="AO62" s="138"/>
      <c r="AP62" s="138"/>
      <c r="AQ62" s="138"/>
      <c r="AR62" s="138"/>
      <c r="AS62" s="138"/>
      <c r="AT62" s="138"/>
      <c r="AU62" s="138"/>
      <c r="AV62" s="138" t="s">
        <v>122</v>
      </c>
      <c r="AW62" s="138"/>
      <c r="AX62" s="138"/>
      <c r="AY62" s="138"/>
      <c r="AZ62" s="138"/>
      <c r="BA62" s="138"/>
      <c r="BB62" s="138"/>
      <c r="BC62" s="138"/>
      <c r="BD62" s="138"/>
      <c r="BE62" s="138"/>
      <c r="BF62" s="138"/>
      <c r="BG62" s="138"/>
      <c r="BH62" s="138"/>
      <c r="BI62" s="138"/>
      <c r="BJ62" s="138"/>
      <c r="BM62" s="29"/>
    </row>
    <row r="63" spans="2:65" ht="25" customHeight="1" x14ac:dyDescent="0.2">
      <c r="B63" s="18">
        <f>COUNTA(C63:BJ63)</f>
        <v>0</v>
      </c>
      <c r="C63" s="191"/>
      <c r="D63" s="192"/>
      <c r="E63" s="192"/>
      <c r="F63" s="192"/>
      <c r="G63" s="192"/>
      <c r="H63" s="192"/>
      <c r="I63" s="192"/>
      <c r="J63" s="192"/>
      <c r="K63" s="192"/>
      <c r="L63" s="192"/>
      <c r="M63" s="192"/>
      <c r="N63" s="192"/>
      <c r="O63" s="192"/>
      <c r="P63" s="192"/>
      <c r="Q63" s="193"/>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M63" s="29"/>
    </row>
    <row r="64" spans="2:65" ht="25" customHeight="1" x14ac:dyDescent="0.2">
      <c r="B64" s="18">
        <f>COUNTA(C64:BJ64)</f>
        <v>0</v>
      </c>
      <c r="C64" s="191"/>
      <c r="D64" s="192"/>
      <c r="E64" s="192"/>
      <c r="F64" s="192"/>
      <c r="G64" s="192"/>
      <c r="H64" s="192"/>
      <c r="I64" s="192"/>
      <c r="J64" s="192"/>
      <c r="K64" s="192"/>
      <c r="L64" s="192"/>
      <c r="M64" s="192"/>
      <c r="N64" s="192"/>
      <c r="O64" s="192"/>
      <c r="P64" s="192"/>
      <c r="Q64" s="193"/>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M64" s="29"/>
    </row>
    <row r="65" spans="2:65" ht="25" customHeight="1" x14ac:dyDescent="0.2">
      <c r="B65" s="18">
        <f>COUNTA(C65:BJ65)</f>
        <v>0</v>
      </c>
      <c r="C65" s="201"/>
      <c r="D65" s="202"/>
      <c r="E65" s="202"/>
      <c r="F65" s="202"/>
      <c r="G65" s="202"/>
      <c r="H65" s="202"/>
      <c r="I65" s="202"/>
      <c r="J65" s="202"/>
      <c r="K65" s="202"/>
      <c r="L65" s="202"/>
      <c r="M65" s="202"/>
      <c r="N65" s="202"/>
      <c r="O65" s="202"/>
      <c r="P65" s="202"/>
      <c r="Q65" s="203"/>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9"/>
      <c r="BM65" s="29"/>
    </row>
    <row r="66" spans="2:65" ht="25" customHeight="1" x14ac:dyDescent="0.2">
      <c r="C66" s="131" t="s">
        <v>52</v>
      </c>
      <c r="D66" s="131"/>
      <c r="E66" s="131"/>
      <c r="F66" s="131"/>
      <c r="G66" s="131"/>
      <c r="H66" s="131"/>
      <c r="I66" s="131"/>
      <c r="J66" s="131"/>
      <c r="K66" s="131"/>
      <c r="L66" s="131"/>
      <c r="M66" s="131"/>
      <c r="N66" s="131"/>
      <c r="O66" s="131"/>
      <c r="P66" s="131"/>
      <c r="Q66" s="131"/>
      <c r="R66" s="131"/>
      <c r="S66" s="131"/>
      <c r="T66" s="131"/>
      <c r="U66" s="131"/>
      <c r="V66" s="131"/>
      <c r="W66" s="131"/>
      <c r="X66" s="131"/>
      <c r="Y66" s="131"/>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c r="AY66" s="131"/>
      <c r="AZ66" s="131"/>
      <c r="BA66" s="131"/>
      <c r="BB66" s="131"/>
      <c r="BC66" s="131"/>
      <c r="BD66" s="131"/>
      <c r="BE66" s="131"/>
      <c r="BF66" s="131"/>
      <c r="BG66" s="74" t="s">
        <v>53</v>
      </c>
      <c r="BH66" s="75"/>
      <c r="BI66" s="74" t="s">
        <v>54</v>
      </c>
      <c r="BJ66" s="75"/>
      <c r="BM66" s="29">
        <v>1</v>
      </c>
    </row>
    <row r="67" spans="2:65" ht="25" customHeight="1" x14ac:dyDescent="0.2">
      <c r="C67" s="9"/>
      <c r="D67" s="9"/>
      <c r="E67" s="9"/>
      <c r="K67" s="9"/>
      <c r="L67" s="9"/>
      <c r="M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M67" s="29"/>
    </row>
    <row r="68" spans="2:65" ht="16" thickBot="1" x14ac:dyDescent="0.25">
      <c r="C68" s="22" t="s">
        <v>95</v>
      </c>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c r="BH68" s="22"/>
      <c r="BI68" s="22"/>
      <c r="BJ68" s="22"/>
      <c r="BM68" s="29">
        <v>1</v>
      </c>
    </row>
    <row r="69" spans="2:65" x14ac:dyDescent="0.2">
      <c r="BM69" s="29">
        <v>1</v>
      </c>
    </row>
    <row r="70" spans="2:65" x14ac:dyDescent="0.2">
      <c r="K70" s="33"/>
      <c r="L70" s="33"/>
      <c r="M70" s="33"/>
      <c r="N70" s="142" t="s">
        <v>123</v>
      </c>
      <c r="O70" s="142"/>
      <c r="P70" s="142"/>
      <c r="Q70" s="142"/>
      <c r="R70" s="142"/>
      <c r="S70" s="142"/>
      <c r="T70" s="142"/>
      <c r="U70" s="142"/>
      <c r="V70" s="142"/>
      <c r="W70" s="142"/>
      <c r="X70" s="142"/>
      <c r="Y70" s="142"/>
      <c r="Z70" s="142"/>
      <c r="AA70" s="142"/>
      <c r="AB70" s="142"/>
      <c r="AC70" s="142"/>
      <c r="AD70" s="142"/>
      <c r="AE70" s="142"/>
      <c r="AF70" s="142"/>
      <c r="AG70" s="142"/>
      <c r="AH70" s="142"/>
      <c r="AI70" s="142"/>
      <c r="AJ70" s="142"/>
      <c r="AK70" s="142"/>
      <c r="AL70" s="142"/>
      <c r="AM70" s="142"/>
      <c r="AN70" s="142"/>
      <c r="AO70" s="142"/>
      <c r="AP70" s="142"/>
      <c r="AQ70" s="142"/>
      <c r="AR70" s="142"/>
      <c r="AS70" s="142"/>
      <c r="AT70" s="142"/>
      <c r="AU70" s="142"/>
      <c r="AV70" s="142"/>
      <c r="AW70" s="142"/>
      <c r="AX70" s="142"/>
      <c r="AY70" s="142"/>
      <c r="AZ70" s="142"/>
      <c r="BA70" s="142"/>
      <c r="BB70" s="142"/>
      <c r="BC70" s="142"/>
      <c r="BD70" s="142"/>
      <c r="BE70" s="142"/>
      <c r="BF70" s="142"/>
      <c r="BG70" s="142"/>
      <c r="BH70" s="142"/>
      <c r="BI70" s="142"/>
      <c r="BJ70" s="142"/>
      <c r="BM70" s="29">
        <v>1</v>
      </c>
    </row>
    <row r="71" spans="2:65" x14ac:dyDescent="0.2">
      <c r="K71" s="33"/>
      <c r="L71" s="33"/>
      <c r="M71" s="33"/>
      <c r="N71" s="142"/>
      <c r="O71" s="142"/>
      <c r="P71" s="142"/>
      <c r="Q71" s="142"/>
      <c r="R71" s="142"/>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c r="AY71" s="142"/>
      <c r="AZ71" s="142"/>
      <c r="BA71" s="142"/>
      <c r="BB71" s="142"/>
      <c r="BC71" s="142"/>
      <c r="BD71" s="142"/>
      <c r="BE71" s="142"/>
      <c r="BF71" s="142"/>
      <c r="BG71" s="142"/>
      <c r="BH71" s="142"/>
      <c r="BI71" s="142"/>
      <c r="BJ71" s="142"/>
      <c r="BM71" s="29">
        <v>1</v>
      </c>
    </row>
    <row r="72" spans="2:65" x14ac:dyDescent="0.2">
      <c r="BM72" s="29">
        <v>1</v>
      </c>
    </row>
    <row r="73" spans="2:65" ht="30" customHeight="1" x14ac:dyDescent="0.2">
      <c r="C73" s="140" t="s">
        <v>97</v>
      </c>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M73" s="29"/>
    </row>
    <row r="74" spans="2:65" ht="30" customHeight="1" x14ac:dyDescent="0.2">
      <c r="C74" s="186" t="str">
        <f>"versión "&amp;Parametros!A1&amp;"   -   CONFIDENCIAL"</f>
        <v>versión 1.5   -   CONFIDENCIAL</v>
      </c>
      <c r="D74" s="186"/>
      <c r="E74" s="186"/>
      <c r="F74" s="186"/>
      <c r="G74" s="186"/>
      <c r="H74" s="186"/>
      <c r="I74" s="186"/>
      <c r="J74" s="186"/>
      <c r="K74" s="186"/>
      <c r="L74" s="186"/>
      <c r="M74" s="186"/>
      <c r="N74" s="186"/>
      <c r="O74" s="186"/>
      <c r="P74" s="186"/>
      <c r="Q74" s="186"/>
      <c r="R74" s="186"/>
      <c r="S74" s="186"/>
      <c r="T74" s="186"/>
      <c r="U74" s="186"/>
      <c r="V74" s="186"/>
      <c r="W74" s="186"/>
      <c r="X74" s="186"/>
      <c r="Y74" s="186"/>
      <c r="Z74" s="186"/>
      <c r="AA74" s="186"/>
      <c r="AB74" s="186"/>
      <c r="AC74" s="186"/>
      <c r="AD74" s="186"/>
      <c r="AE74" s="186"/>
      <c r="AF74" s="186"/>
      <c r="AG74" s="186"/>
      <c r="AH74" s="186"/>
      <c r="AI74" s="186"/>
      <c r="AJ74" s="186"/>
      <c r="AK74" s="186"/>
      <c r="AL74" s="186"/>
      <c r="AM74" s="186"/>
      <c r="AN74" s="186"/>
      <c r="AO74" s="186"/>
      <c r="AP74" s="186"/>
      <c r="AQ74" s="186"/>
      <c r="AR74" s="186"/>
      <c r="AS74" s="186"/>
      <c r="AT74" s="186"/>
      <c r="AU74" s="186"/>
      <c r="AV74" s="186"/>
      <c r="AW74" s="186"/>
      <c r="AX74" s="186"/>
      <c r="AY74" s="186"/>
      <c r="AZ74" s="186"/>
      <c r="BA74" s="186"/>
      <c r="BB74" s="186"/>
      <c r="BC74" s="186"/>
      <c r="BD74" s="186"/>
      <c r="BE74" s="186"/>
      <c r="BF74" s="186"/>
      <c r="BM74" s="29"/>
    </row>
    <row r="75" spans="2:65" ht="30" customHeight="1" x14ac:dyDescent="0.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M75" s="29"/>
    </row>
  </sheetData>
  <sheetProtection algorithmName="SHA-512" hashValue="lw8wg0tY0Qi0gFn1zeqv//Tft/mkNavRDcbs1/jlgyNH1sw+w0AnVYhRqUhIrVZC/nIoJ/Ubw5IH80lXQ0Eaqw==" saltValue="BoLvRrq3ykdPbp3Sw+OyKg==" spinCount="100000" sheet="1" objects="1" scenarios="1" formatCells="0" formatRows="0" insertHyperlinks="0" autoFilter="0"/>
  <dataConsolidate/>
  <mergeCells count="108">
    <mergeCell ref="AX46:BJ46"/>
    <mergeCell ref="AX47:BJ47"/>
    <mergeCell ref="AX48:BJ48"/>
    <mergeCell ref="AX49:BJ49"/>
    <mergeCell ref="T48:AG48"/>
    <mergeCell ref="T49:AG49"/>
    <mergeCell ref="AH47:AJ47"/>
    <mergeCell ref="AH48:AJ48"/>
    <mergeCell ref="AH49:AJ49"/>
    <mergeCell ref="AK46:AW46"/>
    <mergeCell ref="AK47:AW47"/>
    <mergeCell ref="AK48:AW48"/>
    <mergeCell ref="AK49:AW49"/>
    <mergeCell ref="AH46:AJ46"/>
    <mergeCell ref="C62:Q62"/>
    <mergeCell ref="R62:AF62"/>
    <mergeCell ref="AG62:AU62"/>
    <mergeCell ref="AV62:BJ62"/>
    <mergeCell ref="C63:Q63"/>
    <mergeCell ref="R63:AF63"/>
    <mergeCell ref="AG63:AU63"/>
    <mergeCell ref="AV63:BJ63"/>
    <mergeCell ref="C55:BJ55"/>
    <mergeCell ref="C56:BJ56"/>
    <mergeCell ref="C57:BJ57"/>
    <mergeCell ref="C58:BF58"/>
    <mergeCell ref="BG58:BH58"/>
    <mergeCell ref="BI58:BJ58"/>
    <mergeCell ref="C74:BF74"/>
    <mergeCell ref="C64:Q64"/>
    <mergeCell ref="R64:AF64"/>
    <mergeCell ref="AG64:AU64"/>
    <mergeCell ref="AV64:BJ64"/>
    <mergeCell ref="C65:Q65"/>
    <mergeCell ref="R65:AF65"/>
    <mergeCell ref="AG65:AU65"/>
    <mergeCell ref="AV65:BJ65"/>
    <mergeCell ref="C66:BF66"/>
    <mergeCell ref="BG66:BH66"/>
    <mergeCell ref="BI66:BJ66"/>
    <mergeCell ref="N70:BJ71"/>
    <mergeCell ref="C73:BF73"/>
    <mergeCell ref="C31:BJ31"/>
    <mergeCell ref="C32:BJ32"/>
    <mergeCell ref="BI53:BJ53"/>
    <mergeCell ref="C35:BJ35"/>
    <mergeCell ref="C21:N21"/>
    <mergeCell ref="O21:AA21"/>
    <mergeCell ref="AB21:BJ21"/>
    <mergeCell ref="C23:BJ23"/>
    <mergeCell ref="C25:BJ25"/>
    <mergeCell ref="C26:BJ26"/>
    <mergeCell ref="C50:BF50"/>
    <mergeCell ref="BG50:BH50"/>
    <mergeCell ref="BI50:BJ50"/>
    <mergeCell ref="Q46:S46"/>
    <mergeCell ref="C46:P46"/>
    <mergeCell ref="C47:P47"/>
    <mergeCell ref="C48:P48"/>
    <mergeCell ref="C49:P49"/>
    <mergeCell ref="Q47:S47"/>
    <mergeCell ref="Q48:S48"/>
    <mergeCell ref="Q49:S49"/>
    <mergeCell ref="T46:AG46"/>
    <mergeCell ref="C33:BJ33"/>
    <mergeCell ref="T47:AG47"/>
    <mergeCell ref="C11:G11"/>
    <mergeCell ref="H11:L11"/>
    <mergeCell ref="M11:Q11"/>
    <mergeCell ref="R11:AF11"/>
    <mergeCell ref="AG11:AU11"/>
    <mergeCell ref="AV11:BJ11"/>
    <mergeCell ref="C10:G10"/>
    <mergeCell ref="C27:BJ27"/>
    <mergeCell ref="C29:BJ29"/>
    <mergeCell ref="C18:N18"/>
    <mergeCell ref="O18:BJ18"/>
    <mergeCell ref="C19:N19"/>
    <mergeCell ref="O19:BJ19"/>
    <mergeCell ref="C20:N20"/>
    <mergeCell ref="O20:AA20"/>
    <mergeCell ref="AB20:BJ20"/>
    <mergeCell ref="C12:BF12"/>
    <mergeCell ref="BG12:BH12"/>
    <mergeCell ref="BI12:BJ12"/>
    <mergeCell ref="C16:N16"/>
    <mergeCell ref="O16:BJ16"/>
    <mergeCell ref="C17:N17"/>
    <mergeCell ref="O17:BJ17"/>
    <mergeCell ref="H10:L10"/>
    <mergeCell ref="M10:Q10"/>
    <mergeCell ref="C9:G9"/>
    <mergeCell ref="H9:L9"/>
    <mergeCell ref="M9:Q9"/>
    <mergeCell ref="R9:AF9"/>
    <mergeCell ref="AG9:AU9"/>
    <mergeCell ref="AV9:BJ9"/>
    <mergeCell ref="C3:O6"/>
    <mergeCell ref="P3:BJ6"/>
    <mergeCell ref="C8:G8"/>
    <mergeCell ref="H8:L8"/>
    <mergeCell ref="M8:Q8"/>
    <mergeCell ref="R8:AF8"/>
    <mergeCell ref="AG8:AU8"/>
    <mergeCell ref="AV8:BJ8"/>
    <mergeCell ref="R10:AF10"/>
    <mergeCell ref="AG10:AU10"/>
    <mergeCell ref="AV10:BJ10"/>
  </mergeCells>
  <dataValidations count="7">
    <dataValidation type="list" allowBlank="1" showInputMessage="1" showErrorMessage="1" sqref="O20" xr:uid="{00000000-0002-0000-0300-000000000000}">
      <formula1>Producto</formula1>
    </dataValidation>
    <dataValidation type="list" allowBlank="1" showInputMessage="1" showErrorMessage="1" sqref="BI53:BJ53" xr:uid="{00000000-0002-0000-0300-000001000000}">
      <formula1>SiNo</formula1>
    </dataValidation>
    <dataValidation type="list" allowBlank="1" showInputMessage="1" showErrorMessage="1" sqref="N19:N21" xr:uid="{00000000-0002-0000-0300-000002000000}">
      <formula1>TipoProyecto</formula1>
    </dataValidation>
    <dataValidation type="date" allowBlank="1" showInputMessage="1" showErrorMessage="1" prompt="Formato entrada: _x000a_dd/mmm/yyyy_x000a__x000a_Ejemplo:_x000a_18/abr/2017" sqref="M9:Q11" xr:uid="{00000000-0002-0000-0300-000003000000}">
      <formula1>1</formula1>
      <formula2>401769</formula2>
    </dataValidation>
    <dataValidation type="list" allowBlank="1" showInputMessage="1" showErrorMessage="1" sqref="H9:L11" xr:uid="{00000000-0002-0000-0300-000004000000}">
      <formula1>Accion</formula1>
    </dataValidation>
    <dataValidation type="whole" operator="greaterThanOrEqual" allowBlank="1" showInputMessage="1" showErrorMessage="1" errorTitle="Error" error="Sólo se permite el ingreso de valores enteros" sqref="Q47:S49" xr:uid="{00000000-0002-0000-0300-000005000000}">
      <formula1>1</formula1>
    </dataValidation>
    <dataValidation type="list" allowBlank="1" showInputMessage="1" showErrorMessage="1" sqref="AH47:AJ49" xr:uid="{00000000-0002-0000-0300-000006000000}">
      <formula1>ImpactoIssue</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rtaDevolucion"/>
  <dimension ref="A1:XFC67"/>
  <sheetViews>
    <sheetView showGridLines="0" zoomScaleNormal="100" workbookViewId="0">
      <selection activeCell="C11" sqref="C11:G11"/>
    </sheetView>
  </sheetViews>
  <sheetFormatPr baseColWidth="10" defaultColWidth="0" defaultRowHeight="15" x14ac:dyDescent="0.2"/>
  <cols>
    <col min="1" max="63" width="2.6640625" customWidth="1"/>
    <col min="64" max="64" width="2.5" customWidth="1"/>
    <col min="65" max="16383" width="2.83203125" hidden="1"/>
    <col min="16384" max="16384" width="2.5" hidden="1"/>
  </cols>
  <sheetData>
    <row r="1" spans="1:66" x14ac:dyDescent="0.2">
      <c r="BM1" s="31"/>
      <c r="BN1" s="44" t="e">
        <f>ROW(PlanPruebas!#REF!)</f>
        <v>#REF!</v>
      </c>
    </row>
    <row r="2" spans="1:66"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29"/>
      <c r="BN2" s="44">
        <f>ROW(PlanPruebas!BM73)</f>
        <v>73</v>
      </c>
    </row>
    <row r="3" spans="1:66" ht="15" customHeight="1" x14ac:dyDescent="0.2">
      <c r="C3" s="152"/>
      <c r="D3" s="152"/>
      <c r="E3" s="152"/>
      <c r="F3" s="152"/>
      <c r="G3" s="152"/>
      <c r="H3" s="152"/>
      <c r="I3" s="152"/>
      <c r="J3" s="152"/>
      <c r="K3" s="152"/>
      <c r="L3" s="152"/>
      <c r="M3" s="152"/>
      <c r="N3" s="152"/>
      <c r="O3" s="152"/>
      <c r="P3" s="166" t="s">
        <v>132</v>
      </c>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8"/>
      <c r="BM3" s="29"/>
    </row>
    <row r="4" spans="1:66" ht="15" customHeight="1" x14ac:dyDescent="0.2">
      <c r="C4" s="152"/>
      <c r="D4" s="152"/>
      <c r="E4" s="152"/>
      <c r="F4" s="152"/>
      <c r="G4" s="152"/>
      <c r="H4" s="152"/>
      <c r="I4" s="152"/>
      <c r="J4" s="152"/>
      <c r="K4" s="152"/>
      <c r="L4" s="152"/>
      <c r="M4" s="152"/>
      <c r="N4" s="152"/>
      <c r="O4" s="152"/>
      <c r="P4" s="169"/>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1"/>
      <c r="BM4" s="29"/>
    </row>
    <row r="5" spans="1:66" ht="15" customHeight="1" x14ac:dyDescent="0.2">
      <c r="C5" s="152"/>
      <c r="D5" s="152"/>
      <c r="E5" s="152"/>
      <c r="F5" s="152"/>
      <c r="G5" s="152"/>
      <c r="H5" s="152"/>
      <c r="I5" s="152"/>
      <c r="J5" s="152"/>
      <c r="K5" s="152"/>
      <c r="L5" s="152"/>
      <c r="M5" s="152"/>
      <c r="N5" s="152"/>
      <c r="O5" s="152"/>
      <c r="P5" s="169"/>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1"/>
      <c r="BM5" s="29"/>
    </row>
    <row r="6" spans="1:66" ht="15" customHeight="1" x14ac:dyDescent="0.2">
      <c r="C6" s="152"/>
      <c r="D6" s="152"/>
      <c r="E6" s="152"/>
      <c r="F6" s="152"/>
      <c r="G6" s="152"/>
      <c r="H6" s="152"/>
      <c r="I6" s="152"/>
      <c r="J6" s="152"/>
      <c r="K6" s="152"/>
      <c r="L6" s="152"/>
      <c r="M6" s="152"/>
      <c r="N6" s="152"/>
      <c r="O6" s="152"/>
      <c r="P6" s="172"/>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c r="AP6" s="173"/>
      <c r="AQ6" s="173"/>
      <c r="AR6" s="173"/>
      <c r="AS6" s="173"/>
      <c r="AT6" s="173"/>
      <c r="AU6" s="173"/>
      <c r="AV6" s="173"/>
      <c r="AW6" s="173"/>
      <c r="AX6" s="173"/>
      <c r="AY6" s="173"/>
      <c r="AZ6" s="173"/>
      <c r="BA6" s="173"/>
      <c r="BB6" s="173"/>
      <c r="BC6" s="173"/>
      <c r="BD6" s="173"/>
      <c r="BE6" s="173"/>
      <c r="BF6" s="173"/>
      <c r="BG6" s="173"/>
      <c r="BH6" s="173"/>
      <c r="BI6" s="173"/>
      <c r="BJ6" s="174"/>
      <c r="BM6" s="29"/>
    </row>
    <row r="7" spans="1:66" ht="25" customHeight="1" x14ac:dyDescent="0.2">
      <c r="BM7" s="29"/>
    </row>
    <row r="8" spans="1:66" ht="25" customHeight="1" x14ac:dyDescent="0.2">
      <c r="C8" s="163" t="s">
        <v>1</v>
      </c>
      <c r="D8" s="164"/>
      <c r="E8" s="164"/>
      <c r="F8" s="164"/>
      <c r="G8" s="165"/>
      <c r="H8" s="138" t="s">
        <v>47</v>
      </c>
      <c r="I8" s="138"/>
      <c r="J8" s="138"/>
      <c r="K8" s="138"/>
      <c r="L8" s="138"/>
      <c r="M8" s="138" t="s">
        <v>48</v>
      </c>
      <c r="N8" s="138"/>
      <c r="O8" s="138"/>
      <c r="P8" s="138"/>
      <c r="Q8" s="138"/>
      <c r="R8" s="138" t="s">
        <v>49</v>
      </c>
      <c r="S8" s="138"/>
      <c r="T8" s="138"/>
      <c r="U8" s="138"/>
      <c r="V8" s="138"/>
      <c r="W8" s="138"/>
      <c r="X8" s="138"/>
      <c r="Y8" s="138"/>
      <c r="Z8" s="138"/>
      <c r="AA8" s="138"/>
      <c r="AB8" s="138"/>
      <c r="AC8" s="138"/>
      <c r="AD8" s="138"/>
      <c r="AE8" s="138"/>
      <c r="AF8" s="138"/>
      <c r="AG8" s="138" t="s">
        <v>50</v>
      </c>
      <c r="AH8" s="138"/>
      <c r="AI8" s="138"/>
      <c r="AJ8" s="138"/>
      <c r="AK8" s="138"/>
      <c r="AL8" s="138"/>
      <c r="AM8" s="138"/>
      <c r="AN8" s="138"/>
      <c r="AO8" s="138"/>
      <c r="AP8" s="138"/>
      <c r="AQ8" s="138"/>
      <c r="AR8" s="138"/>
      <c r="AS8" s="138"/>
      <c r="AT8" s="138"/>
      <c r="AU8" s="138"/>
      <c r="AV8" s="138" t="s">
        <v>51</v>
      </c>
      <c r="AW8" s="138"/>
      <c r="AX8" s="138"/>
      <c r="AY8" s="138"/>
      <c r="AZ8" s="138"/>
      <c r="BA8" s="138"/>
      <c r="BB8" s="138"/>
      <c r="BC8" s="138"/>
      <c r="BD8" s="138"/>
      <c r="BE8" s="138"/>
      <c r="BF8" s="138"/>
      <c r="BG8" s="138"/>
      <c r="BH8" s="138"/>
      <c r="BI8" s="138"/>
      <c r="BJ8" s="138"/>
      <c r="BM8" s="29"/>
    </row>
    <row r="9" spans="1:66" ht="25" customHeight="1" x14ac:dyDescent="0.2">
      <c r="B9" s="18">
        <f>COUNTA(C9:BJ9)</f>
        <v>0</v>
      </c>
      <c r="C9" s="107"/>
      <c r="D9" s="107"/>
      <c r="E9" s="107"/>
      <c r="F9" s="107"/>
      <c r="G9" s="107"/>
      <c r="H9" s="107"/>
      <c r="I9" s="107"/>
      <c r="J9" s="107"/>
      <c r="K9" s="107"/>
      <c r="L9" s="107"/>
      <c r="M9" s="139"/>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M9" s="29"/>
    </row>
    <row r="10" spans="1:66" ht="25" customHeight="1" x14ac:dyDescent="0.2">
      <c r="B10" s="18">
        <f>COUNTA(C10:BJ10)</f>
        <v>0</v>
      </c>
      <c r="C10" s="107"/>
      <c r="D10" s="107"/>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M10" s="29"/>
    </row>
    <row r="11" spans="1:66" ht="25" customHeight="1" x14ac:dyDescent="0.2">
      <c r="B11" s="18">
        <f>COUNTA(C11:BJ11)</f>
        <v>0</v>
      </c>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9"/>
      <c r="BM11" s="29"/>
    </row>
    <row r="12" spans="1:66" ht="25" customHeight="1" x14ac:dyDescent="0.2">
      <c r="C12" s="131" t="s">
        <v>52</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74" t="s">
        <v>53</v>
      </c>
      <c r="BH12" s="75"/>
      <c r="BI12" s="74" t="s">
        <v>54</v>
      </c>
      <c r="BJ12" s="75"/>
      <c r="BM12" s="29">
        <v>1</v>
      </c>
    </row>
    <row r="13" spans="1:66" ht="25" customHeight="1" x14ac:dyDescent="0.2">
      <c r="C13" s="9"/>
      <c r="D13" s="9"/>
      <c r="E13" s="9"/>
      <c r="K13" s="9"/>
      <c r="L13" s="9"/>
      <c r="M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M13" s="29"/>
    </row>
    <row r="14" spans="1:66" ht="16" thickBot="1" x14ac:dyDescent="0.25">
      <c r="C14" s="22" t="s">
        <v>99</v>
      </c>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M14" s="29"/>
    </row>
    <row r="15" spans="1:66" ht="15" customHeight="1" x14ac:dyDescent="0.2">
      <c r="BM15" s="29"/>
    </row>
    <row r="16" spans="1:66" ht="25" customHeight="1" x14ac:dyDescent="0.2">
      <c r="C16" s="76" t="s">
        <v>100</v>
      </c>
      <c r="D16" s="77"/>
      <c r="E16" s="77"/>
      <c r="F16" s="77"/>
      <c r="G16" s="77"/>
      <c r="H16" s="77"/>
      <c r="I16" s="77"/>
      <c r="J16" s="77"/>
      <c r="K16" s="77"/>
      <c r="L16" s="77"/>
      <c r="M16" s="77"/>
      <c r="N16" s="78"/>
      <c r="O16" s="175" t="str">
        <f>IF(TRIM(PlanPruebas!O16)="","",TRIM(PlanPruebas!O16))</f>
        <v/>
      </c>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7"/>
      <c r="BM16" s="29"/>
    </row>
    <row r="17" spans="2:67" ht="25" customHeight="1" x14ac:dyDescent="0.2">
      <c r="C17" s="76" t="s">
        <v>101</v>
      </c>
      <c r="D17" s="77"/>
      <c r="E17" s="77"/>
      <c r="F17" s="77"/>
      <c r="G17" s="77"/>
      <c r="H17" s="77"/>
      <c r="I17" s="77"/>
      <c r="J17" s="77"/>
      <c r="K17" s="77"/>
      <c r="L17" s="77"/>
      <c r="M17" s="77"/>
      <c r="N17" s="78"/>
      <c r="O17" s="175" t="str">
        <f>IF(TRIM(PlanPruebas!O17)="","",TRIM(PlanPruebas!O17))</f>
        <v>Proyecto like me E-comerce</v>
      </c>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7"/>
      <c r="BM17" s="29"/>
      <c r="BN17" s="30"/>
      <c r="BO17" s="30"/>
    </row>
    <row r="18" spans="2:67" ht="25" customHeight="1" x14ac:dyDescent="0.2">
      <c r="C18" s="76" t="s">
        <v>102</v>
      </c>
      <c r="D18" s="77"/>
      <c r="E18" s="77"/>
      <c r="F18" s="77"/>
      <c r="G18" s="77"/>
      <c r="H18" s="77"/>
      <c r="I18" s="77"/>
      <c r="J18" s="77"/>
      <c r="K18" s="77"/>
      <c r="L18" s="77"/>
      <c r="M18" s="77"/>
      <c r="N18" s="78"/>
      <c r="O18" s="175" t="str">
        <f>IF(TRIM(PlanPruebas!O18)="","",TRIM(PlanPruebas!O18))</f>
        <v/>
      </c>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7"/>
      <c r="BM18" s="29"/>
    </row>
    <row r="19" spans="2:67" ht="25" customHeight="1" x14ac:dyDescent="0.2">
      <c r="B19" s="19"/>
      <c r="C19" s="178" t="s">
        <v>103</v>
      </c>
      <c r="D19" s="179"/>
      <c r="E19" s="179"/>
      <c r="F19" s="179"/>
      <c r="G19" s="179"/>
      <c r="H19" s="179"/>
      <c r="I19" s="179"/>
      <c r="J19" s="179"/>
      <c r="K19" s="179"/>
      <c r="L19" s="179"/>
      <c r="M19" s="179"/>
      <c r="N19" s="180"/>
      <c r="O19" s="181" t="str">
        <f>IF(TRIM(PlanPruebas!O19)="","",TRIM(PlanPruebas!O19))</f>
        <v>Luis Fernando Pineda Urrego</v>
      </c>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3"/>
      <c r="BK19" s="19"/>
      <c r="BM19" s="29"/>
    </row>
    <row r="20" spans="2:67" ht="25" customHeight="1" x14ac:dyDescent="0.2">
      <c r="C20" s="130" t="s">
        <v>104</v>
      </c>
      <c r="D20" s="130"/>
      <c r="E20" s="130"/>
      <c r="F20" s="130"/>
      <c r="G20" s="130"/>
      <c r="H20" s="130"/>
      <c r="I20" s="130"/>
      <c r="J20" s="130"/>
      <c r="K20" s="130"/>
      <c r="L20" s="130"/>
      <c r="M20" s="130"/>
      <c r="N20" s="130"/>
      <c r="O20" s="188"/>
      <c r="P20" s="188"/>
      <c r="Q20" s="188"/>
      <c r="R20" s="188"/>
      <c r="S20" s="188"/>
      <c r="T20" s="188"/>
      <c r="U20" s="188"/>
      <c r="V20" s="188"/>
      <c r="W20" s="188"/>
      <c r="X20" s="188"/>
      <c r="Y20" s="188"/>
      <c r="Z20" s="188"/>
      <c r="AA20" s="188"/>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M20" s="29"/>
    </row>
    <row r="21" spans="2:67" ht="25" customHeight="1" x14ac:dyDescent="0.2">
      <c r="C21" s="130" t="s">
        <v>1</v>
      </c>
      <c r="D21" s="130"/>
      <c r="E21" s="130"/>
      <c r="F21" s="130"/>
      <c r="G21" s="130"/>
      <c r="H21" s="130"/>
      <c r="I21" s="130"/>
      <c r="J21" s="130"/>
      <c r="K21" s="130"/>
      <c r="L21" s="130"/>
      <c r="M21" s="130"/>
      <c r="N21" s="130"/>
      <c r="O21" s="188"/>
      <c r="P21" s="188"/>
      <c r="Q21" s="188"/>
      <c r="R21" s="188"/>
      <c r="S21" s="188"/>
      <c r="T21" s="188"/>
      <c r="U21" s="188"/>
      <c r="V21" s="188"/>
      <c r="W21" s="188"/>
      <c r="X21" s="188"/>
      <c r="Y21" s="188"/>
      <c r="Z21" s="188"/>
      <c r="AA21" s="188"/>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M21" s="29"/>
    </row>
    <row r="22" spans="2:67" ht="25" customHeight="1" x14ac:dyDescent="0.2">
      <c r="C22" s="3"/>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BM22" s="29"/>
    </row>
    <row r="23" spans="2:67" ht="16" thickBot="1" x14ac:dyDescent="0.25">
      <c r="C23" s="22" t="s">
        <v>133</v>
      </c>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M23" s="29"/>
    </row>
    <row r="24" spans="2:67" ht="15" customHeight="1" x14ac:dyDescent="0.2">
      <c r="BM24" s="29"/>
    </row>
    <row r="25" spans="2:67" ht="39" customHeight="1" x14ac:dyDescent="0.2">
      <c r="C25" s="189" t="str">
        <f xml:space="preserve"> "No se acepta la versión para el tipo de prueba " &amp; O20 &amp; " ya que la probabilidad de errores, por la solución de los inconvenientes o problemas se incrementa o porque probar un producto en éstas condiciones no es beneficioso para el proyecto."</f>
        <v>No se acepta la versión para el tipo de prueba  ya que la probabilidad de errores, por la solución de los inconvenientes o problemas se incrementa o porque probar un producto en éstas condiciones no es beneficioso para el proyecto.</v>
      </c>
      <c r="D25" s="189"/>
      <c r="E25" s="189"/>
      <c r="F25" s="189"/>
      <c r="G25" s="189"/>
      <c r="H25" s="189"/>
      <c r="I25" s="189"/>
      <c r="J25" s="189"/>
      <c r="K25" s="189"/>
      <c r="L25" s="189"/>
      <c r="M25" s="189"/>
      <c r="N25" s="189"/>
      <c r="O25" s="189"/>
      <c r="P25" s="189"/>
      <c r="Q25" s="189"/>
      <c r="R25" s="189"/>
      <c r="S25" s="189"/>
      <c r="T25" s="189"/>
      <c r="U25" s="189"/>
      <c r="V25" s="189"/>
      <c r="W25" s="189"/>
      <c r="X25" s="189"/>
      <c r="Y25" s="189"/>
      <c r="Z25" s="189"/>
      <c r="AA25" s="189"/>
      <c r="AB25" s="189"/>
      <c r="AC25" s="189"/>
      <c r="AD25" s="189"/>
      <c r="AE25" s="189"/>
      <c r="AF25" s="189"/>
      <c r="AG25" s="189"/>
      <c r="AH25" s="189"/>
      <c r="AI25" s="189"/>
      <c r="AJ25" s="189"/>
      <c r="AK25" s="189"/>
      <c r="AL25" s="189"/>
      <c r="AM25" s="189"/>
      <c r="AN25" s="189"/>
      <c r="AO25" s="189"/>
      <c r="AP25" s="189"/>
      <c r="AQ25" s="189"/>
      <c r="AR25" s="189"/>
      <c r="AS25" s="189"/>
      <c r="AT25" s="189"/>
      <c r="AU25" s="189"/>
      <c r="AV25" s="189"/>
      <c r="AW25" s="189"/>
      <c r="AX25" s="189"/>
      <c r="AY25" s="189"/>
      <c r="AZ25" s="189"/>
      <c r="BA25" s="189"/>
      <c r="BB25" s="189"/>
      <c r="BC25" s="189"/>
      <c r="BD25" s="189"/>
      <c r="BE25" s="189"/>
      <c r="BF25" s="189"/>
      <c r="BG25" s="189"/>
      <c r="BH25" s="189"/>
      <c r="BI25" s="189"/>
      <c r="BJ25" s="189"/>
      <c r="BM25" s="29"/>
    </row>
    <row r="26" spans="2:67" x14ac:dyDescent="0.2">
      <c r="C26" s="207" t="s">
        <v>134</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c r="BC26" s="207"/>
      <c r="BD26" s="207"/>
      <c r="BE26" s="207"/>
      <c r="BF26" s="207"/>
      <c r="BG26" s="207"/>
      <c r="BH26" s="207"/>
      <c r="BI26" s="207"/>
      <c r="BJ26" s="207"/>
      <c r="BM26" s="29"/>
    </row>
    <row r="27" spans="2:67" ht="15" customHeight="1" x14ac:dyDescent="0.2">
      <c r="C27" s="34"/>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M27" s="29"/>
    </row>
    <row r="28" spans="2:67" s="38" customFormat="1" ht="25" customHeight="1" x14ac:dyDescent="0.2">
      <c r="B28" s="18">
        <f>COUNTA(C28:BJ28)</f>
        <v>0</v>
      </c>
      <c r="C28" s="209"/>
      <c r="D28" s="210"/>
      <c r="E28" s="210"/>
      <c r="F28" s="210"/>
      <c r="G28" s="210"/>
      <c r="H28" s="210"/>
      <c r="I28" s="210"/>
      <c r="J28" s="210"/>
      <c r="K28" s="210"/>
      <c r="L28" s="210"/>
      <c r="M28" s="210"/>
      <c r="N28" s="210"/>
      <c r="O28" s="210"/>
      <c r="P28" s="210"/>
      <c r="Q28" s="210"/>
      <c r="R28" s="210"/>
      <c r="S28" s="210"/>
      <c r="T28" s="210"/>
      <c r="U28" s="210"/>
      <c r="V28" s="210"/>
      <c r="W28" s="210"/>
      <c r="X28" s="210"/>
      <c r="Y28" s="210"/>
      <c r="Z28" s="210"/>
      <c r="AA28" s="210"/>
      <c r="AB28" s="210"/>
      <c r="AC28" s="210"/>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1"/>
      <c r="BM28" s="29"/>
    </row>
    <row r="29" spans="2:67" s="38" customFormat="1" ht="25" customHeight="1" x14ac:dyDescent="0.2">
      <c r="B29" s="18">
        <f>COUNTA(C29:BJ29)</f>
        <v>0</v>
      </c>
      <c r="C29" s="212"/>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4"/>
      <c r="BM29" s="29"/>
    </row>
    <row r="30" spans="2:67" s="38" customFormat="1" ht="25" customHeight="1" x14ac:dyDescent="0.2">
      <c r="B30" s="18">
        <f>COUNTA(C30:BJ30)</f>
        <v>0</v>
      </c>
      <c r="C30" s="215"/>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7"/>
      <c r="BK30" s="43"/>
      <c r="BM30" s="29"/>
    </row>
    <row r="31" spans="2:67" ht="25" customHeight="1" x14ac:dyDescent="0.2">
      <c r="C31" s="131" t="s">
        <v>52</v>
      </c>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c r="AY31" s="131"/>
      <c r="AZ31" s="131"/>
      <c r="BA31" s="131"/>
      <c r="BB31" s="131"/>
      <c r="BC31" s="131"/>
      <c r="BD31" s="131"/>
      <c r="BE31" s="131"/>
      <c r="BF31" s="131"/>
      <c r="BG31" s="74" t="s">
        <v>53</v>
      </c>
      <c r="BH31" s="75"/>
      <c r="BI31" s="74" t="s">
        <v>54</v>
      </c>
      <c r="BJ31" s="75"/>
      <c r="BM31" s="29">
        <v>1</v>
      </c>
    </row>
    <row r="32" spans="2:67" s="38" customFormat="1" ht="15" customHeight="1" x14ac:dyDescent="0.2">
      <c r="C32" s="35"/>
      <c r="D32" s="39"/>
      <c r="E32" s="39"/>
      <c r="F32" s="39"/>
      <c r="G32" s="40"/>
      <c r="H32" s="39"/>
      <c r="I32" s="39"/>
      <c r="J32" s="39"/>
      <c r="K32" s="40"/>
      <c r="L32" s="39"/>
      <c r="M32" s="39"/>
      <c r="N32" s="39"/>
      <c r="O32" s="40"/>
      <c r="P32" s="39"/>
      <c r="Q32" s="39"/>
      <c r="R32" s="39"/>
      <c r="S32" s="40"/>
      <c r="T32" s="39"/>
      <c r="U32" s="39"/>
      <c r="V32" s="39"/>
      <c r="W32" s="40"/>
      <c r="X32" s="39"/>
      <c r="Y32" s="39"/>
      <c r="Z32" s="39"/>
      <c r="AA32" s="40"/>
      <c r="AB32" s="39"/>
      <c r="AC32" s="39"/>
      <c r="AD32" s="39"/>
      <c r="AE32" s="40"/>
      <c r="AF32" s="39"/>
      <c r="AG32" s="39"/>
      <c r="AH32" s="39"/>
      <c r="AI32" s="39"/>
      <c r="AJ32" s="39"/>
      <c r="AK32" s="39"/>
      <c r="AL32" s="39"/>
      <c r="AM32" s="39"/>
      <c r="AN32" s="39"/>
      <c r="BM32" s="29"/>
    </row>
    <row r="33" spans="2:65" s="38" customFormat="1" ht="15" customHeight="1" x14ac:dyDescent="0.2">
      <c r="C33" s="190" t="s">
        <v>135</v>
      </c>
      <c r="D33" s="190"/>
      <c r="E33" s="190"/>
      <c r="F33" s="190"/>
      <c r="G33" s="190"/>
      <c r="H33" s="190"/>
      <c r="I33" s="190"/>
      <c r="J33" s="190"/>
      <c r="K33" s="190"/>
      <c r="L33" s="190"/>
      <c r="M33" s="190"/>
      <c r="N33" s="190"/>
      <c r="O33" s="190"/>
      <c r="P33" s="190"/>
      <c r="Q33" s="190"/>
      <c r="R33" s="190"/>
      <c r="S33" s="190"/>
      <c r="T33" s="190"/>
      <c r="U33" s="190"/>
      <c r="V33" s="190"/>
      <c r="W33" s="190"/>
      <c r="X33" s="190"/>
      <c r="Y33" s="190"/>
      <c r="Z33" s="190"/>
      <c r="AA33" s="190"/>
      <c r="AB33" s="190"/>
      <c r="AC33" s="190"/>
      <c r="AD33" s="190"/>
      <c r="AE33" s="190"/>
      <c r="AF33" s="190"/>
      <c r="AG33" s="190"/>
      <c r="AH33" s="190"/>
      <c r="AI33" s="190"/>
      <c r="AJ33" s="190"/>
      <c r="AK33" s="190"/>
      <c r="AL33" s="190"/>
      <c r="AM33" s="190"/>
      <c r="AN33" s="190"/>
      <c r="AO33" s="190"/>
      <c r="AP33" s="190"/>
      <c r="AQ33" s="190"/>
      <c r="AR33" s="190"/>
      <c r="AS33" s="190"/>
      <c r="AT33" s="190"/>
      <c r="AU33" s="190"/>
      <c r="AV33" s="190"/>
      <c r="AW33" s="190"/>
      <c r="AX33" s="190"/>
      <c r="AY33" s="190"/>
      <c r="AZ33" s="190"/>
      <c r="BA33" s="190"/>
      <c r="BB33" s="190"/>
      <c r="BC33" s="190"/>
      <c r="BD33" s="190"/>
      <c r="BE33" s="190"/>
      <c r="BF33" s="190"/>
      <c r="BG33" s="190"/>
      <c r="BH33" s="190"/>
      <c r="BI33" s="190"/>
      <c r="BJ33" s="190"/>
      <c r="BM33" s="29"/>
    </row>
    <row r="34" spans="2:65" s="38" customFormat="1" ht="15" customHeight="1" x14ac:dyDescent="0.2">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M34" s="29"/>
    </row>
    <row r="35" spans="2:65" s="38" customFormat="1" ht="25" customHeight="1" x14ac:dyDescent="0.2">
      <c r="B35" s="18">
        <f>COUNTA(C35:BJ35)</f>
        <v>0</v>
      </c>
      <c r="C35" s="209"/>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210"/>
      <c r="AB35" s="210"/>
      <c r="AC35" s="210"/>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1"/>
      <c r="BM35" s="29"/>
    </row>
    <row r="36" spans="2:65" s="38" customFormat="1" ht="25" customHeight="1" x14ac:dyDescent="0.2">
      <c r="B36" s="18">
        <f>COUNTA(C36:BJ36)</f>
        <v>0</v>
      </c>
      <c r="C36" s="212"/>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4"/>
      <c r="BM36" s="29"/>
    </row>
    <row r="37" spans="2:65" s="38" customFormat="1" ht="25" customHeight="1" x14ac:dyDescent="0.2">
      <c r="B37" s="18">
        <f>COUNTA(C37:BJ37)</f>
        <v>0</v>
      </c>
      <c r="C37" s="215"/>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7"/>
      <c r="BM37" s="29"/>
    </row>
    <row r="38" spans="2:65" ht="25" customHeight="1" x14ac:dyDescent="0.2">
      <c r="C38" s="131" t="s">
        <v>52</v>
      </c>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c r="AY38" s="131"/>
      <c r="AZ38" s="131"/>
      <c r="BA38" s="131"/>
      <c r="BB38" s="131"/>
      <c r="BC38" s="131"/>
      <c r="BD38" s="131"/>
      <c r="BE38" s="131"/>
      <c r="BF38" s="131"/>
      <c r="BG38" s="74" t="s">
        <v>53</v>
      </c>
      <c r="BH38" s="75"/>
      <c r="BI38" s="74" t="s">
        <v>54</v>
      </c>
      <c r="BJ38" s="75"/>
      <c r="BM38" s="29">
        <v>1</v>
      </c>
    </row>
    <row r="39" spans="2:65" ht="15" customHeight="1" x14ac:dyDescent="0.2">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M39" s="29"/>
    </row>
    <row r="40" spans="2:65" ht="30" customHeight="1" x14ac:dyDescent="0.2">
      <c r="C40" s="190" t="s">
        <v>136</v>
      </c>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M40" s="29"/>
    </row>
    <row r="41" spans="2:65" ht="24.75" customHeight="1" x14ac:dyDescent="0.2">
      <c r="C41" s="3"/>
      <c r="D41" s="21"/>
      <c r="E41" s="21"/>
      <c r="F41" s="21"/>
      <c r="G41" s="3"/>
      <c r="H41" s="21"/>
      <c r="I41" s="21"/>
      <c r="J41" s="21"/>
      <c r="K41" s="3"/>
      <c r="L41" s="21"/>
      <c r="M41" s="21"/>
      <c r="N41" s="21"/>
      <c r="O41" s="3"/>
      <c r="P41" s="21"/>
      <c r="Q41" s="21"/>
      <c r="R41" s="21"/>
      <c r="S41" s="3"/>
      <c r="T41" s="21"/>
      <c r="U41" s="21"/>
      <c r="V41" s="21"/>
      <c r="W41" s="3"/>
      <c r="X41" s="21"/>
      <c r="Y41" s="21"/>
      <c r="Z41" s="21"/>
      <c r="AA41" s="3"/>
      <c r="AB41" s="21"/>
      <c r="AC41" s="21"/>
      <c r="AD41" s="21"/>
      <c r="AE41" s="3"/>
      <c r="AF41" s="21"/>
      <c r="AG41" s="21"/>
      <c r="AH41" s="21"/>
      <c r="AI41" s="21"/>
      <c r="AJ41" s="21"/>
      <c r="AK41" s="21"/>
      <c r="AL41" s="21"/>
      <c r="AM41" s="21"/>
      <c r="AN41" s="21"/>
      <c r="BM41" s="29"/>
    </row>
    <row r="42" spans="2:65" ht="16" thickBot="1" x14ac:dyDescent="0.25">
      <c r="C42" s="22" t="s">
        <v>118</v>
      </c>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M42" s="29">
        <f>IF($BI$43="No",1,"")</f>
        <v>1</v>
      </c>
    </row>
    <row r="43" spans="2:65" x14ac:dyDescent="0.2">
      <c r="C43" s="26"/>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7"/>
      <c r="BA43" s="27"/>
      <c r="BB43" s="27"/>
      <c r="BC43" s="27"/>
      <c r="BD43" s="27"/>
      <c r="BE43" s="27"/>
      <c r="BF43" s="27"/>
      <c r="BG43" s="27"/>
      <c r="BH43" s="28" t="s">
        <v>61</v>
      </c>
      <c r="BI43" s="114" t="s">
        <v>82</v>
      </c>
      <c r="BJ43" s="114"/>
      <c r="BM43" s="29">
        <v>1</v>
      </c>
    </row>
    <row r="44" spans="2:65" ht="15" customHeight="1" x14ac:dyDescent="0.2">
      <c r="C44" s="3"/>
      <c r="D44" s="21"/>
      <c r="E44" s="21"/>
      <c r="F44" s="3"/>
      <c r="G44" s="21"/>
      <c r="H44" s="21"/>
      <c r="I44" s="3"/>
      <c r="J44" s="21"/>
      <c r="K44" s="21"/>
      <c r="L44" s="3"/>
      <c r="M44" s="21"/>
      <c r="N44" s="21"/>
      <c r="O44" s="3"/>
      <c r="P44" s="21"/>
      <c r="Q44" s="21"/>
      <c r="R44" s="3"/>
      <c r="S44" s="21"/>
      <c r="T44" s="21"/>
      <c r="U44" s="3"/>
      <c r="V44" s="21"/>
      <c r="W44" s="21"/>
      <c r="X44" s="3"/>
      <c r="Y44" s="21"/>
      <c r="Z44" s="21"/>
      <c r="AA44" s="3"/>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M44" s="29">
        <f>IF($BI$43="No",1,"")</f>
        <v>1</v>
      </c>
    </row>
    <row r="45" spans="2:65" ht="25" customHeight="1" x14ac:dyDescent="0.2">
      <c r="B45" s="18">
        <f>COUNTA(C45:BJ45)</f>
        <v>0</v>
      </c>
      <c r="C45" s="82"/>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4"/>
      <c r="BM45" s="29">
        <f>IF($BI$43="No",1,"")</f>
        <v>1</v>
      </c>
    </row>
    <row r="46" spans="2:65" ht="25" customHeight="1" x14ac:dyDescent="0.2">
      <c r="B46" s="18">
        <f>COUNTA(C46:BJ46)</f>
        <v>0</v>
      </c>
      <c r="C46" s="57"/>
      <c r="D46" s="64"/>
      <c r="E46" s="64"/>
      <c r="F46" s="64"/>
      <c r="G46" s="64"/>
      <c r="H46" s="64"/>
      <c r="I46" s="64"/>
      <c r="J46" s="64"/>
      <c r="K46" s="64"/>
      <c r="L46" s="64"/>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59"/>
      <c r="BM46" s="29">
        <f>IF($BI$43="No",1,"")</f>
        <v>1</v>
      </c>
    </row>
    <row r="47" spans="2:65" ht="25" customHeight="1" x14ac:dyDescent="0.2">
      <c r="B47" s="18">
        <f>COUNTA(C47:BJ47)</f>
        <v>0</v>
      </c>
      <c r="C47" s="65"/>
      <c r="D47" s="55"/>
      <c r="E47" s="55"/>
      <c r="F47" s="55"/>
      <c r="G47" s="55"/>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66"/>
      <c r="BK47" s="19"/>
      <c r="BM47" s="29">
        <f>IF($BI$43="No",1,"")</f>
        <v>1</v>
      </c>
    </row>
    <row r="48" spans="2:65" ht="25" customHeight="1" x14ac:dyDescent="0.2">
      <c r="C48" s="71" t="s">
        <v>52</v>
      </c>
      <c r="D48" s="72"/>
      <c r="E48" s="72"/>
      <c r="F48" s="72"/>
      <c r="G48" s="72"/>
      <c r="H48" s="72"/>
      <c r="I48" s="72"/>
      <c r="J48" s="72"/>
      <c r="K48" s="72"/>
      <c r="L48" s="72"/>
      <c r="M48" s="72"/>
      <c r="N48" s="72"/>
      <c r="O48" s="72"/>
      <c r="P48" s="72"/>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3"/>
      <c r="BG48" s="74" t="s">
        <v>53</v>
      </c>
      <c r="BH48" s="75"/>
      <c r="BI48" s="74" t="s">
        <v>54</v>
      </c>
      <c r="BJ48" s="75"/>
      <c r="BM48" s="29">
        <v>1</v>
      </c>
    </row>
    <row r="49" spans="2:65" ht="15" customHeight="1" x14ac:dyDescent="0.2">
      <c r="C49" s="3"/>
      <c r="D49" s="21"/>
      <c r="E49" s="21"/>
      <c r="F49" s="21"/>
      <c r="G49" s="3"/>
      <c r="H49" s="21"/>
      <c r="I49" s="21"/>
      <c r="J49" s="21"/>
      <c r="K49" s="3"/>
      <c r="L49" s="21"/>
      <c r="M49" s="21"/>
      <c r="N49" s="21"/>
      <c r="O49" s="3"/>
      <c r="P49" s="21"/>
      <c r="Q49" s="21"/>
      <c r="R49" s="21"/>
      <c r="S49" s="3"/>
      <c r="T49" s="21"/>
      <c r="U49" s="21"/>
      <c r="V49" s="21"/>
      <c r="W49" s="3"/>
      <c r="X49" s="21"/>
      <c r="Y49" s="21"/>
      <c r="Z49" s="21"/>
      <c r="AA49" s="3"/>
      <c r="AB49" s="21"/>
      <c r="AC49" s="21"/>
      <c r="AD49" s="21"/>
      <c r="AE49" s="3"/>
      <c r="AF49" s="21"/>
      <c r="AG49" s="21"/>
      <c r="AH49" s="21"/>
      <c r="AI49" s="21"/>
      <c r="AJ49" s="21"/>
      <c r="AK49" s="21"/>
      <c r="AL49" s="21"/>
      <c r="AM49" s="21"/>
      <c r="AN49" s="21"/>
      <c r="BM49" s="29">
        <f>IF($BI$43="No",1,"")</f>
        <v>1</v>
      </c>
    </row>
    <row r="50" spans="2:65" ht="15" customHeight="1" x14ac:dyDescent="0.2">
      <c r="C50" s="36" t="s">
        <v>119</v>
      </c>
      <c r="D50" s="21"/>
      <c r="E50" s="21"/>
      <c r="F50" s="21"/>
      <c r="G50" s="3"/>
      <c r="H50" s="21"/>
      <c r="I50" s="21"/>
      <c r="J50" s="21"/>
      <c r="K50" s="3"/>
      <c r="L50" s="21"/>
      <c r="M50" s="21"/>
      <c r="N50" s="21"/>
      <c r="O50" s="3"/>
      <c r="P50" s="21"/>
      <c r="Q50" s="21"/>
      <c r="R50" s="21"/>
      <c r="S50" s="3"/>
      <c r="T50" s="21"/>
      <c r="U50" s="21"/>
      <c r="V50" s="21"/>
      <c r="W50" s="3"/>
      <c r="X50" s="21"/>
      <c r="Y50" s="21"/>
      <c r="Z50" s="21"/>
      <c r="AA50" s="3"/>
      <c r="AB50" s="21"/>
      <c r="AC50" s="21"/>
      <c r="AD50" s="21"/>
      <c r="AE50" s="3"/>
      <c r="AF50" s="21"/>
      <c r="AG50" s="21"/>
      <c r="AH50" s="21"/>
      <c r="AI50" s="21"/>
      <c r="AJ50" s="21"/>
      <c r="AK50" s="21"/>
      <c r="AL50" s="21"/>
      <c r="AM50" s="21"/>
      <c r="AN50" s="21"/>
      <c r="BM50" s="29"/>
    </row>
    <row r="51" spans="2:65" ht="15" customHeight="1" x14ac:dyDescent="0.2">
      <c r="C51" s="21"/>
      <c r="D51" s="21"/>
      <c r="E51" s="21"/>
      <c r="F51" s="21"/>
      <c r="G51" s="21"/>
      <c r="H51" s="21"/>
      <c r="I51" s="21"/>
      <c r="J51" s="21"/>
      <c r="K51" s="21"/>
      <c r="L51" s="21"/>
      <c r="M51" s="21"/>
      <c r="N51" s="21"/>
      <c r="O51" s="21"/>
      <c r="P51" s="21"/>
      <c r="Q51" s="21"/>
      <c r="R51" s="21"/>
      <c r="S51" s="3"/>
      <c r="T51" s="21"/>
      <c r="U51" s="21"/>
      <c r="V51" s="21"/>
      <c r="W51" s="3"/>
      <c r="X51" s="21"/>
      <c r="Y51" s="21"/>
      <c r="Z51" s="21"/>
      <c r="AA51" s="3"/>
      <c r="AB51" s="21"/>
      <c r="AC51" s="21"/>
      <c r="AD51" s="21"/>
      <c r="AE51" s="3"/>
      <c r="AF51" s="21"/>
      <c r="AG51" s="21"/>
      <c r="AH51" s="21"/>
      <c r="AI51" s="21"/>
      <c r="AJ51" s="21"/>
      <c r="AK51" s="21"/>
      <c r="AL51" s="21"/>
      <c r="AM51" s="21"/>
      <c r="AN51" s="21"/>
      <c r="BM51" s="29"/>
    </row>
    <row r="52" spans="2:65" ht="25" customHeight="1" x14ac:dyDescent="0.2">
      <c r="C52" s="163" t="s">
        <v>77</v>
      </c>
      <c r="D52" s="164"/>
      <c r="E52" s="164"/>
      <c r="F52" s="164"/>
      <c r="G52" s="164"/>
      <c r="H52" s="164"/>
      <c r="I52" s="164"/>
      <c r="J52" s="164"/>
      <c r="K52" s="164"/>
      <c r="L52" s="164"/>
      <c r="M52" s="164"/>
      <c r="N52" s="164"/>
      <c r="O52" s="164"/>
      <c r="P52" s="164"/>
      <c r="Q52" s="165"/>
      <c r="R52" s="138" t="s">
        <v>120</v>
      </c>
      <c r="S52" s="138"/>
      <c r="T52" s="138"/>
      <c r="U52" s="138"/>
      <c r="V52" s="138"/>
      <c r="W52" s="138"/>
      <c r="X52" s="138"/>
      <c r="Y52" s="138"/>
      <c r="Z52" s="138"/>
      <c r="AA52" s="138"/>
      <c r="AB52" s="138"/>
      <c r="AC52" s="138"/>
      <c r="AD52" s="138"/>
      <c r="AE52" s="138"/>
      <c r="AF52" s="138"/>
      <c r="AG52" s="138" t="s">
        <v>121</v>
      </c>
      <c r="AH52" s="138"/>
      <c r="AI52" s="138"/>
      <c r="AJ52" s="138"/>
      <c r="AK52" s="138"/>
      <c r="AL52" s="138"/>
      <c r="AM52" s="138"/>
      <c r="AN52" s="138"/>
      <c r="AO52" s="138"/>
      <c r="AP52" s="138"/>
      <c r="AQ52" s="138"/>
      <c r="AR52" s="138"/>
      <c r="AS52" s="138"/>
      <c r="AT52" s="138"/>
      <c r="AU52" s="138"/>
      <c r="AV52" s="138" t="s">
        <v>122</v>
      </c>
      <c r="AW52" s="138"/>
      <c r="AX52" s="138"/>
      <c r="AY52" s="138"/>
      <c r="AZ52" s="138"/>
      <c r="BA52" s="138"/>
      <c r="BB52" s="138"/>
      <c r="BC52" s="138"/>
      <c r="BD52" s="138"/>
      <c r="BE52" s="138"/>
      <c r="BF52" s="138"/>
      <c r="BG52" s="138"/>
      <c r="BH52" s="138"/>
      <c r="BI52" s="138"/>
      <c r="BJ52" s="138"/>
      <c r="BM52" s="29"/>
    </row>
    <row r="53" spans="2:65" ht="25" customHeight="1" x14ac:dyDescent="0.2">
      <c r="B53" s="18">
        <f>COUNTA(C53:BJ53)</f>
        <v>0</v>
      </c>
      <c r="C53" s="191"/>
      <c r="D53" s="192"/>
      <c r="E53" s="192"/>
      <c r="F53" s="192"/>
      <c r="G53" s="192"/>
      <c r="H53" s="192"/>
      <c r="I53" s="192"/>
      <c r="J53" s="192"/>
      <c r="K53" s="192"/>
      <c r="L53" s="192"/>
      <c r="M53" s="192"/>
      <c r="N53" s="192"/>
      <c r="O53" s="192"/>
      <c r="P53" s="192"/>
      <c r="Q53" s="193"/>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M53" s="29"/>
    </row>
    <row r="54" spans="2:65" ht="25" customHeight="1" x14ac:dyDescent="0.2">
      <c r="B54" s="18">
        <f>COUNTA(C54:BJ54)</f>
        <v>0</v>
      </c>
      <c r="C54" s="191"/>
      <c r="D54" s="192"/>
      <c r="E54" s="192"/>
      <c r="F54" s="192"/>
      <c r="G54" s="192"/>
      <c r="H54" s="192"/>
      <c r="I54" s="192"/>
      <c r="J54" s="192"/>
      <c r="K54" s="192"/>
      <c r="L54" s="192"/>
      <c r="M54" s="192"/>
      <c r="N54" s="192"/>
      <c r="O54" s="192"/>
      <c r="P54" s="192"/>
      <c r="Q54" s="193"/>
      <c r="R54" s="107"/>
      <c r="S54" s="107"/>
      <c r="T54" s="107"/>
      <c r="U54" s="107"/>
      <c r="V54" s="107"/>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c r="BA54" s="107"/>
      <c r="BB54" s="107"/>
      <c r="BC54" s="107"/>
      <c r="BD54" s="107"/>
      <c r="BE54" s="107"/>
      <c r="BF54" s="107"/>
      <c r="BG54" s="107"/>
      <c r="BH54" s="107"/>
      <c r="BI54" s="107"/>
      <c r="BJ54" s="107"/>
      <c r="BM54" s="29"/>
    </row>
    <row r="55" spans="2:65" ht="25" customHeight="1" x14ac:dyDescent="0.2">
      <c r="B55" s="18">
        <f>COUNTA(C55:BJ55)</f>
        <v>0</v>
      </c>
      <c r="C55" s="201"/>
      <c r="D55" s="202"/>
      <c r="E55" s="202"/>
      <c r="F55" s="202"/>
      <c r="G55" s="202"/>
      <c r="H55" s="202"/>
      <c r="I55" s="202"/>
      <c r="J55" s="202"/>
      <c r="K55" s="202"/>
      <c r="L55" s="202"/>
      <c r="M55" s="202"/>
      <c r="N55" s="202"/>
      <c r="O55" s="202"/>
      <c r="P55" s="202"/>
      <c r="Q55" s="203"/>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102"/>
      <c r="BF55" s="102"/>
      <c r="BG55" s="102"/>
      <c r="BH55" s="102"/>
      <c r="BI55" s="102"/>
      <c r="BJ55" s="102"/>
      <c r="BK55" s="19"/>
      <c r="BM55" s="29"/>
    </row>
    <row r="56" spans="2:65" ht="25" customHeight="1" x14ac:dyDescent="0.2">
      <c r="C56" s="131" t="s">
        <v>52</v>
      </c>
      <c r="D56" s="131"/>
      <c r="E56" s="131"/>
      <c r="F56" s="131"/>
      <c r="G56" s="131"/>
      <c r="H56" s="131"/>
      <c r="I56" s="131"/>
      <c r="J56" s="131"/>
      <c r="K56" s="131"/>
      <c r="L56" s="131"/>
      <c r="M56" s="131"/>
      <c r="N56" s="131"/>
      <c r="O56" s="131"/>
      <c r="P56" s="131"/>
      <c r="Q56" s="131"/>
      <c r="R56" s="131"/>
      <c r="S56" s="131"/>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c r="AY56" s="131"/>
      <c r="AZ56" s="131"/>
      <c r="BA56" s="131"/>
      <c r="BB56" s="131"/>
      <c r="BC56" s="131"/>
      <c r="BD56" s="131"/>
      <c r="BE56" s="131"/>
      <c r="BF56" s="131"/>
      <c r="BG56" s="74" t="s">
        <v>53</v>
      </c>
      <c r="BH56" s="75"/>
      <c r="BI56" s="74" t="s">
        <v>54</v>
      </c>
      <c r="BJ56" s="75"/>
      <c r="BM56" s="29">
        <v>1</v>
      </c>
    </row>
    <row r="57" spans="2:65" ht="25" customHeight="1" x14ac:dyDescent="0.2">
      <c r="C57" s="9"/>
      <c r="D57" s="9"/>
      <c r="E57" s="9"/>
      <c r="K57" s="9"/>
      <c r="L57" s="9"/>
      <c r="M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M57" s="29"/>
    </row>
    <row r="58" spans="2:65" ht="25" customHeight="1" x14ac:dyDescent="0.2">
      <c r="C58" s="130" t="s">
        <v>137</v>
      </c>
      <c r="D58" s="130"/>
      <c r="E58" s="130"/>
      <c r="F58" s="130"/>
      <c r="G58" s="130"/>
      <c r="H58" s="130"/>
      <c r="I58" s="130"/>
      <c r="J58" s="130"/>
      <c r="K58" s="130"/>
      <c r="L58" s="130"/>
      <c r="M58" s="130"/>
      <c r="N58" s="130"/>
      <c r="O58" s="208"/>
      <c r="P58" s="208"/>
      <c r="Q58" s="208"/>
      <c r="R58" s="208"/>
      <c r="S58" s="208"/>
      <c r="T58" s="208"/>
      <c r="U58" s="208"/>
      <c r="V58" s="208"/>
      <c r="W58" s="208"/>
      <c r="X58" s="208"/>
      <c r="Y58" s="208"/>
      <c r="Z58" s="208"/>
      <c r="AA58" s="208"/>
      <c r="AB58" s="187"/>
      <c r="AC58" s="187"/>
      <c r="AD58" s="187"/>
      <c r="AE58" s="187"/>
      <c r="AF58" s="187"/>
      <c r="AG58" s="187"/>
      <c r="AH58" s="187"/>
      <c r="AI58" s="187"/>
      <c r="AJ58" s="187"/>
      <c r="AK58" s="187"/>
      <c r="AL58" s="187"/>
      <c r="AM58" s="187"/>
      <c r="AN58" s="187"/>
      <c r="AO58" s="187"/>
      <c r="AP58" s="187"/>
      <c r="AQ58" s="187"/>
      <c r="AR58" s="187"/>
      <c r="AS58" s="187"/>
      <c r="AT58" s="187"/>
      <c r="AU58" s="187"/>
      <c r="AV58" s="187"/>
      <c r="AW58" s="187"/>
      <c r="AX58" s="187"/>
      <c r="AY58" s="187"/>
      <c r="AZ58" s="187"/>
      <c r="BA58" s="187"/>
      <c r="BB58" s="187"/>
      <c r="BC58" s="187"/>
      <c r="BD58" s="187"/>
      <c r="BE58" s="187"/>
      <c r="BF58" s="187"/>
      <c r="BG58" s="187"/>
      <c r="BH58" s="187"/>
      <c r="BI58" s="187"/>
      <c r="BJ58" s="187"/>
      <c r="BM58" s="29"/>
    </row>
    <row r="59" spans="2:65" ht="25" customHeight="1" x14ac:dyDescent="0.2">
      <c r="C59" s="9"/>
      <c r="D59" s="9"/>
      <c r="E59" s="9"/>
      <c r="K59" s="9"/>
      <c r="L59" s="9"/>
      <c r="M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M59" s="29"/>
    </row>
    <row r="60" spans="2:65" ht="16" thickBot="1" x14ac:dyDescent="0.25">
      <c r="C60" s="22" t="s">
        <v>95</v>
      </c>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M60" s="29">
        <v>1</v>
      </c>
    </row>
    <row r="61" spans="2:65" x14ac:dyDescent="0.2">
      <c r="BM61" s="29">
        <v>1</v>
      </c>
    </row>
    <row r="62" spans="2:65" x14ac:dyDescent="0.2">
      <c r="K62" s="33"/>
      <c r="L62" s="33"/>
      <c r="M62" s="33"/>
      <c r="N62" s="142" t="s">
        <v>123</v>
      </c>
      <c r="O62" s="142"/>
      <c r="P62" s="142"/>
      <c r="Q62" s="142"/>
      <c r="R62" s="142"/>
      <c r="S62" s="142"/>
      <c r="T62" s="142"/>
      <c r="U62" s="142"/>
      <c r="V62" s="142"/>
      <c r="W62" s="142"/>
      <c r="X62" s="142"/>
      <c r="Y62" s="142"/>
      <c r="Z62" s="142"/>
      <c r="AA62" s="142"/>
      <c r="AB62" s="142"/>
      <c r="AC62" s="142"/>
      <c r="AD62" s="142"/>
      <c r="AE62" s="142"/>
      <c r="AF62" s="142"/>
      <c r="AG62" s="142"/>
      <c r="AH62" s="142"/>
      <c r="AI62" s="142"/>
      <c r="AJ62" s="142"/>
      <c r="AK62" s="142"/>
      <c r="AL62" s="142"/>
      <c r="AM62" s="142"/>
      <c r="AN62" s="142"/>
      <c r="AO62" s="142"/>
      <c r="AP62" s="142"/>
      <c r="AQ62" s="142"/>
      <c r="AR62" s="142"/>
      <c r="AS62" s="142"/>
      <c r="AT62" s="142"/>
      <c r="AU62" s="142"/>
      <c r="AV62" s="142"/>
      <c r="AW62" s="142"/>
      <c r="AX62" s="142"/>
      <c r="AY62" s="142"/>
      <c r="AZ62" s="142"/>
      <c r="BA62" s="142"/>
      <c r="BB62" s="142"/>
      <c r="BC62" s="142"/>
      <c r="BD62" s="142"/>
      <c r="BE62" s="142"/>
      <c r="BF62" s="142"/>
      <c r="BG62" s="142"/>
      <c r="BH62" s="142"/>
      <c r="BI62" s="142"/>
      <c r="BJ62" s="142"/>
      <c r="BM62" s="29">
        <v>1</v>
      </c>
    </row>
    <row r="63" spans="2:65" x14ac:dyDescent="0.2">
      <c r="K63" s="33"/>
      <c r="L63" s="33"/>
      <c r="M63" s="33"/>
      <c r="N63" s="142"/>
      <c r="O63" s="142"/>
      <c r="P63" s="142"/>
      <c r="Q63" s="142"/>
      <c r="R63" s="142"/>
      <c r="S63" s="142"/>
      <c r="T63" s="142"/>
      <c r="U63" s="142"/>
      <c r="V63" s="142"/>
      <c r="W63" s="142"/>
      <c r="X63" s="142"/>
      <c r="Y63" s="142"/>
      <c r="Z63" s="142"/>
      <c r="AA63" s="142"/>
      <c r="AB63" s="142"/>
      <c r="AC63" s="142"/>
      <c r="AD63" s="142"/>
      <c r="AE63" s="142"/>
      <c r="AF63" s="142"/>
      <c r="AG63" s="142"/>
      <c r="AH63" s="142"/>
      <c r="AI63" s="142"/>
      <c r="AJ63" s="142"/>
      <c r="AK63" s="142"/>
      <c r="AL63" s="142"/>
      <c r="AM63" s="142"/>
      <c r="AN63" s="142"/>
      <c r="AO63" s="142"/>
      <c r="AP63" s="142"/>
      <c r="AQ63" s="142"/>
      <c r="AR63" s="142"/>
      <c r="AS63" s="142"/>
      <c r="AT63" s="142"/>
      <c r="AU63" s="142"/>
      <c r="AV63" s="142"/>
      <c r="AW63" s="142"/>
      <c r="AX63" s="142"/>
      <c r="AY63" s="142"/>
      <c r="AZ63" s="142"/>
      <c r="BA63" s="142"/>
      <c r="BB63" s="142"/>
      <c r="BC63" s="142"/>
      <c r="BD63" s="142"/>
      <c r="BE63" s="142"/>
      <c r="BF63" s="142"/>
      <c r="BG63" s="142"/>
      <c r="BH63" s="142"/>
      <c r="BI63" s="142"/>
      <c r="BJ63" s="142"/>
      <c r="BM63" s="29">
        <v>1</v>
      </c>
    </row>
    <row r="64" spans="2:65" x14ac:dyDescent="0.2">
      <c r="BM64" s="29">
        <v>1</v>
      </c>
    </row>
    <row r="65" spans="3:65" ht="30" customHeight="1" x14ac:dyDescent="0.2">
      <c r="C65" s="140" t="s">
        <v>97</v>
      </c>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M65" s="29"/>
    </row>
    <row r="66" spans="3:65" ht="30" customHeight="1" x14ac:dyDescent="0.2">
      <c r="C66" s="186" t="str">
        <f>"versión "&amp;Parametros!A1&amp;"   -   CONFIDENCIAL"</f>
        <v>versión 1.5   -   CONFIDENCIAL</v>
      </c>
      <c r="D66" s="186"/>
      <c r="E66" s="186"/>
      <c r="F66" s="186"/>
      <c r="G66" s="186"/>
      <c r="H66" s="186"/>
      <c r="I66" s="186"/>
      <c r="J66" s="186"/>
      <c r="K66" s="186"/>
      <c r="L66" s="186"/>
      <c r="M66" s="186"/>
      <c r="N66" s="186"/>
      <c r="O66" s="186"/>
      <c r="P66" s="186"/>
      <c r="Q66" s="186"/>
      <c r="R66" s="186"/>
      <c r="S66" s="186"/>
      <c r="T66" s="186"/>
      <c r="U66" s="186"/>
      <c r="V66" s="186"/>
      <c r="W66" s="186"/>
      <c r="X66" s="186"/>
      <c r="Y66" s="186"/>
      <c r="Z66" s="186"/>
      <c r="AA66" s="186"/>
      <c r="AB66" s="186"/>
      <c r="AC66" s="186"/>
      <c r="AD66" s="186"/>
      <c r="AE66" s="186"/>
      <c r="AF66" s="186"/>
      <c r="AG66" s="186"/>
      <c r="AH66" s="186"/>
      <c r="AI66" s="186"/>
      <c r="AJ66" s="186"/>
      <c r="AK66" s="186"/>
      <c r="AL66" s="186"/>
      <c r="AM66" s="186"/>
      <c r="AN66" s="186"/>
      <c r="AO66" s="186"/>
      <c r="AP66" s="186"/>
      <c r="AQ66" s="186"/>
      <c r="AR66" s="186"/>
      <c r="AS66" s="186"/>
      <c r="AT66" s="186"/>
      <c r="AU66" s="186"/>
      <c r="AV66" s="186"/>
      <c r="AW66" s="186"/>
      <c r="AX66" s="186"/>
      <c r="AY66" s="186"/>
      <c r="AZ66" s="186"/>
      <c r="BA66" s="186"/>
      <c r="BB66" s="186"/>
      <c r="BC66" s="186"/>
      <c r="BD66" s="186"/>
      <c r="BE66" s="186"/>
      <c r="BF66" s="186"/>
      <c r="BM66" s="29"/>
    </row>
    <row r="67" spans="3:65" ht="30" customHeight="1" x14ac:dyDescent="0.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M67" s="29"/>
    </row>
  </sheetData>
  <sheetProtection algorithmName="SHA-512" hashValue="s72yGgiJ2lydMbaxG7UYb+M/zN82oC94PT7Nsla3BeumzUxQeLJ6PEyF2QO3jPwvC3J3VSrQ51oPKoKwMLuPGg==" saltValue="mq1tRa4PE5zvE6HaIEFYDA==" spinCount="100000" sheet="1" objects="1" scenarios="1" formatCells="0" formatRows="0" insertHyperlinks="0" autoFilter="0"/>
  <dataConsolidate/>
  <mergeCells count="91">
    <mergeCell ref="C3:O6"/>
    <mergeCell ref="P3:BJ6"/>
    <mergeCell ref="C8:G8"/>
    <mergeCell ref="H8:L8"/>
    <mergeCell ref="M8:Q8"/>
    <mergeCell ref="R8:AF8"/>
    <mergeCell ref="AG8:AU8"/>
    <mergeCell ref="AV8:BJ8"/>
    <mergeCell ref="AV10:BJ10"/>
    <mergeCell ref="C9:G9"/>
    <mergeCell ref="H9:L9"/>
    <mergeCell ref="M9:Q9"/>
    <mergeCell ref="R9:AF9"/>
    <mergeCell ref="AG9:AU9"/>
    <mergeCell ref="AV9:BJ9"/>
    <mergeCell ref="C10:G10"/>
    <mergeCell ref="H10:L10"/>
    <mergeCell ref="M10:Q10"/>
    <mergeCell ref="R10:AF10"/>
    <mergeCell ref="AG10:AU10"/>
    <mergeCell ref="C17:N17"/>
    <mergeCell ref="O17:BJ17"/>
    <mergeCell ref="C11:G11"/>
    <mergeCell ref="H11:L11"/>
    <mergeCell ref="M11:Q11"/>
    <mergeCell ref="R11:AF11"/>
    <mergeCell ref="AG11:AU11"/>
    <mergeCell ref="AV11:BJ11"/>
    <mergeCell ref="C12:BF12"/>
    <mergeCell ref="BG12:BH12"/>
    <mergeCell ref="BI12:BJ12"/>
    <mergeCell ref="C16:N16"/>
    <mergeCell ref="O16:BJ16"/>
    <mergeCell ref="C18:N18"/>
    <mergeCell ref="O18:BJ18"/>
    <mergeCell ref="C19:N19"/>
    <mergeCell ref="O19:BJ19"/>
    <mergeCell ref="C20:N20"/>
    <mergeCell ref="O20:AA20"/>
    <mergeCell ref="AB20:BJ20"/>
    <mergeCell ref="C40:BJ40"/>
    <mergeCell ref="C21:N21"/>
    <mergeCell ref="O21:AA21"/>
    <mergeCell ref="AB21:BJ21"/>
    <mergeCell ref="C25:BJ25"/>
    <mergeCell ref="C28:BJ28"/>
    <mergeCell ref="C29:BJ29"/>
    <mergeCell ref="C30:BJ30"/>
    <mergeCell ref="C33:BJ33"/>
    <mergeCell ref="C35:BJ35"/>
    <mergeCell ref="C36:BJ36"/>
    <mergeCell ref="C37:BJ37"/>
    <mergeCell ref="BI43:BJ43"/>
    <mergeCell ref="C45:BJ45"/>
    <mergeCell ref="C46:BJ46"/>
    <mergeCell ref="C58:N58"/>
    <mergeCell ref="O58:AA58"/>
    <mergeCell ref="AB58:BJ58"/>
    <mergeCell ref="C47:BJ47"/>
    <mergeCell ref="C48:BF48"/>
    <mergeCell ref="BG48:BH48"/>
    <mergeCell ref="BI48:BJ48"/>
    <mergeCell ref="C52:Q52"/>
    <mergeCell ref="R52:AF52"/>
    <mergeCell ref="AG52:AU52"/>
    <mergeCell ref="AV52:BJ52"/>
    <mergeCell ref="BI56:BJ56"/>
    <mergeCell ref="C53:Q53"/>
    <mergeCell ref="R53:AF53"/>
    <mergeCell ref="AG53:AU53"/>
    <mergeCell ref="AV53:BJ53"/>
    <mergeCell ref="C54:Q54"/>
    <mergeCell ref="R54:AF54"/>
    <mergeCell ref="AG54:AU54"/>
    <mergeCell ref="AV54:BJ54"/>
    <mergeCell ref="N62:BJ63"/>
    <mergeCell ref="C65:BF65"/>
    <mergeCell ref="C66:BF66"/>
    <mergeCell ref="C26:BJ26"/>
    <mergeCell ref="C31:BF31"/>
    <mergeCell ref="BG31:BH31"/>
    <mergeCell ref="BI31:BJ31"/>
    <mergeCell ref="C38:BF38"/>
    <mergeCell ref="BG38:BH38"/>
    <mergeCell ref="BI38:BJ38"/>
    <mergeCell ref="C55:Q55"/>
    <mergeCell ref="R55:AF55"/>
    <mergeCell ref="AG55:AU55"/>
    <mergeCell ref="AV55:BJ55"/>
    <mergeCell ref="C56:BF56"/>
    <mergeCell ref="BG56:BH56"/>
  </mergeCells>
  <dataValidations count="5">
    <dataValidation type="list" allowBlank="1" showInputMessage="1" showErrorMessage="1" sqref="H9:L11" xr:uid="{00000000-0002-0000-0400-000000000000}">
      <formula1>Accion</formula1>
    </dataValidation>
    <dataValidation type="date" allowBlank="1" showInputMessage="1" showErrorMessage="1" prompt="Formato entrada: _x000a_dd/mmm/yyyy_x000a__x000a_Ejemplo:_x000a_18/abr/2017" sqref="O58 M9:Q11" xr:uid="{00000000-0002-0000-0400-000001000000}">
      <formula1>1</formula1>
      <formula2>401769</formula2>
    </dataValidation>
    <dataValidation type="list" allowBlank="1" showInputMessage="1" showErrorMessage="1" sqref="N19:N21 N58" xr:uid="{00000000-0002-0000-0400-000002000000}">
      <formula1>TipoProyecto</formula1>
    </dataValidation>
    <dataValidation type="list" allowBlank="1" showInputMessage="1" showErrorMessage="1" sqref="BI43:BJ43" xr:uid="{00000000-0002-0000-0400-000003000000}">
      <formula1>SiNo</formula1>
    </dataValidation>
    <dataValidation type="list" allowBlank="1" showInputMessage="1" showErrorMessage="1" sqref="O20" xr:uid="{00000000-0002-0000-0400-000004000000}">
      <formula1>Producto</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rtaSuspension"/>
  <dimension ref="A1:XFC60"/>
  <sheetViews>
    <sheetView showGridLines="0" zoomScaleNormal="100" workbookViewId="0">
      <selection activeCell="C11" sqref="C11:G11"/>
    </sheetView>
  </sheetViews>
  <sheetFormatPr baseColWidth="10" defaultColWidth="0" defaultRowHeight="15" x14ac:dyDescent="0.2"/>
  <cols>
    <col min="1" max="63" width="2.6640625" customWidth="1"/>
    <col min="64" max="64" width="2.5" customWidth="1"/>
    <col min="65" max="16383" width="2.83203125" hidden="1"/>
    <col min="16384" max="16384" width="9.33203125" hidden="1"/>
  </cols>
  <sheetData>
    <row r="1" spans="1:66" x14ac:dyDescent="0.2">
      <c r="BM1" s="31"/>
      <c r="BN1" s="44">
        <f>ROW(PlanPruebas!BZ70)</f>
        <v>70</v>
      </c>
    </row>
    <row r="2" spans="1:66"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29"/>
      <c r="BN2" s="44">
        <f>ROW(PlanPruebas!BM66)</f>
        <v>66</v>
      </c>
    </row>
    <row r="3" spans="1:66" ht="15" customHeight="1" x14ac:dyDescent="0.2">
      <c r="C3" s="152"/>
      <c r="D3" s="152"/>
      <c r="E3" s="152"/>
      <c r="F3" s="152"/>
      <c r="G3" s="152"/>
      <c r="H3" s="152"/>
      <c r="I3" s="152"/>
      <c r="J3" s="152"/>
      <c r="K3" s="152"/>
      <c r="L3" s="152"/>
      <c r="M3" s="152"/>
      <c r="N3" s="152"/>
      <c r="O3" s="152"/>
      <c r="P3" s="166" t="s">
        <v>138</v>
      </c>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8"/>
      <c r="BM3" s="29"/>
    </row>
    <row r="4" spans="1:66" ht="15" customHeight="1" x14ac:dyDescent="0.2">
      <c r="C4" s="152"/>
      <c r="D4" s="152"/>
      <c r="E4" s="152"/>
      <c r="F4" s="152"/>
      <c r="G4" s="152"/>
      <c r="H4" s="152"/>
      <c r="I4" s="152"/>
      <c r="J4" s="152"/>
      <c r="K4" s="152"/>
      <c r="L4" s="152"/>
      <c r="M4" s="152"/>
      <c r="N4" s="152"/>
      <c r="O4" s="152"/>
      <c r="P4" s="169"/>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1"/>
      <c r="BM4" s="29"/>
    </row>
    <row r="5" spans="1:66" ht="15" customHeight="1" x14ac:dyDescent="0.2">
      <c r="C5" s="152"/>
      <c r="D5" s="152"/>
      <c r="E5" s="152"/>
      <c r="F5" s="152"/>
      <c r="G5" s="152"/>
      <c r="H5" s="152"/>
      <c r="I5" s="152"/>
      <c r="J5" s="152"/>
      <c r="K5" s="152"/>
      <c r="L5" s="152"/>
      <c r="M5" s="152"/>
      <c r="N5" s="152"/>
      <c r="O5" s="152"/>
      <c r="P5" s="169"/>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1"/>
      <c r="BM5" s="29"/>
    </row>
    <row r="6" spans="1:66" ht="15" customHeight="1" x14ac:dyDescent="0.2">
      <c r="C6" s="152"/>
      <c r="D6" s="152"/>
      <c r="E6" s="152"/>
      <c r="F6" s="152"/>
      <c r="G6" s="152"/>
      <c r="H6" s="152"/>
      <c r="I6" s="152"/>
      <c r="J6" s="152"/>
      <c r="K6" s="152"/>
      <c r="L6" s="152"/>
      <c r="M6" s="152"/>
      <c r="N6" s="152"/>
      <c r="O6" s="152"/>
      <c r="P6" s="172"/>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c r="AP6" s="173"/>
      <c r="AQ6" s="173"/>
      <c r="AR6" s="173"/>
      <c r="AS6" s="173"/>
      <c r="AT6" s="173"/>
      <c r="AU6" s="173"/>
      <c r="AV6" s="173"/>
      <c r="AW6" s="173"/>
      <c r="AX6" s="173"/>
      <c r="AY6" s="173"/>
      <c r="AZ6" s="173"/>
      <c r="BA6" s="173"/>
      <c r="BB6" s="173"/>
      <c r="BC6" s="173"/>
      <c r="BD6" s="173"/>
      <c r="BE6" s="173"/>
      <c r="BF6" s="173"/>
      <c r="BG6" s="173"/>
      <c r="BH6" s="173"/>
      <c r="BI6" s="173"/>
      <c r="BJ6" s="174"/>
      <c r="BM6" s="29"/>
    </row>
    <row r="7" spans="1:66" ht="25" customHeight="1" x14ac:dyDescent="0.2">
      <c r="BM7" s="29"/>
    </row>
    <row r="8" spans="1:66" ht="25" customHeight="1" x14ac:dyDescent="0.2">
      <c r="C8" s="163" t="s">
        <v>1</v>
      </c>
      <c r="D8" s="164"/>
      <c r="E8" s="164"/>
      <c r="F8" s="164"/>
      <c r="G8" s="165"/>
      <c r="H8" s="138" t="s">
        <v>47</v>
      </c>
      <c r="I8" s="138"/>
      <c r="J8" s="138"/>
      <c r="K8" s="138"/>
      <c r="L8" s="138"/>
      <c r="M8" s="138" t="s">
        <v>48</v>
      </c>
      <c r="N8" s="138"/>
      <c r="O8" s="138"/>
      <c r="P8" s="138"/>
      <c r="Q8" s="138"/>
      <c r="R8" s="138" t="s">
        <v>49</v>
      </c>
      <c r="S8" s="138"/>
      <c r="T8" s="138"/>
      <c r="U8" s="138"/>
      <c r="V8" s="138"/>
      <c r="W8" s="138"/>
      <c r="X8" s="138"/>
      <c r="Y8" s="138"/>
      <c r="Z8" s="138"/>
      <c r="AA8" s="138"/>
      <c r="AB8" s="138"/>
      <c r="AC8" s="138"/>
      <c r="AD8" s="138"/>
      <c r="AE8" s="138"/>
      <c r="AF8" s="138"/>
      <c r="AG8" s="138" t="s">
        <v>50</v>
      </c>
      <c r="AH8" s="138"/>
      <c r="AI8" s="138"/>
      <c r="AJ8" s="138"/>
      <c r="AK8" s="138"/>
      <c r="AL8" s="138"/>
      <c r="AM8" s="138"/>
      <c r="AN8" s="138"/>
      <c r="AO8" s="138"/>
      <c r="AP8" s="138"/>
      <c r="AQ8" s="138"/>
      <c r="AR8" s="138"/>
      <c r="AS8" s="138"/>
      <c r="AT8" s="138"/>
      <c r="AU8" s="138"/>
      <c r="AV8" s="138" t="s">
        <v>51</v>
      </c>
      <c r="AW8" s="138"/>
      <c r="AX8" s="138"/>
      <c r="AY8" s="138"/>
      <c r="AZ8" s="138"/>
      <c r="BA8" s="138"/>
      <c r="BB8" s="138"/>
      <c r="BC8" s="138"/>
      <c r="BD8" s="138"/>
      <c r="BE8" s="138"/>
      <c r="BF8" s="138"/>
      <c r="BG8" s="138"/>
      <c r="BH8" s="138"/>
      <c r="BI8" s="138"/>
      <c r="BJ8" s="138"/>
      <c r="BM8" s="29"/>
    </row>
    <row r="9" spans="1:66" ht="25" customHeight="1" x14ac:dyDescent="0.2">
      <c r="B9" s="18">
        <f>COUNTA(C9:BJ9)</f>
        <v>0</v>
      </c>
      <c r="C9" s="107"/>
      <c r="D9" s="107"/>
      <c r="E9" s="107"/>
      <c r="F9" s="107"/>
      <c r="G9" s="107"/>
      <c r="H9" s="107"/>
      <c r="I9" s="107"/>
      <c r="J9" s="107"/>
      <c r="K9" s="107"/>
      <c r="L9" s="107"/>
      <c r="M9" s="139"/>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M9" s="29"/>
    </row>
    <row r="10" spans="1:66" ht="25" customHeight="1" x14ac:dyDescent="0.2">
      <c r="B10" s="18">
        <f>COUNTA(C10:BJ10)</f>
        <v>0</v>
      </c>
      <c r="C10" s="107"/>
      <c r="D10" s="107"/>
      <c r="E10" s="107"/>
      <c r="F10" s="107"/>
      <c r="G10" s="107"/>
      <c r="H10" s="107"/>
      <c r="I10" s="107"/>
      <c r="J10" s="107"/>
      <c r="K10" s="107"/>
      <c r="L10" s="107"/>
      <c r="M10" s="139"/>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M10" s="29"/>
    </row>
    <row r="11" spans="1:66" ht="25" customHeight="1" x14ac:dyDescent="0.2">
      <c r="B11" s="18">
        <f>COUNTA(C11:BJ11)</f>
        <v>0</v>
      </c>
      <c r="C11" s="102"/>
      <c r="D11" s="102"/>
      <c r="E11" s="102"/>
      <c r="F11" s="102"/>
      <c r="G11" s="102"/>
      <c r="H11" s="102"/>
      <c r="I11" s="102"/>
      <c r="J11" s="102"/>
      <c r="K11" s="102"/>
      <c r="L11" s="102"/>
      <c r="M11" s="194"/>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9"/>
      <c r="BM11" s="29"/>
    </row>
    <row r="12" spans="1:66" ht="25" customHeight="1" x14ac:dyDescent="0.2">
      <c r="C12" s="131" t="s">
        <v>52</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74" t="s">
        <v>53</v>
      </c>
      <c r="BH12" s="75"/>
      <c r="BI12" s="74" t="s">
        <v>54</v>
      </c>
      <c r="BJ12" s="75"/>
      <c r="BM12" s="29">
        <v>1</v>
      </c>
    </row>
    <row r="13" spans="1:66" ht="25" customHeight="1" x14ac:dyDescent="0.2">
      <c r="C13" s="9"/>
      <c r="D13" s="9"/>
      <c r="E13" s="9"/>
      <c r="K13" s="9"/>
      <c r="L13" s="9"/>
      <c r="M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M13" s="29"/>
    </row>
    <row r="14" spans="1:66" ht="16" thickBot="1" x14ac:dyDescent="0.25">
      <c r="C14" s="22" t="s">
        <v>99</v>
      </c>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M14" s="29"/>
    </row>
    <row r="15" spans="1:66" ht="15" customHeight="1" x14ac:dyDescent="0.2">
      <c r="BM15" s="29"/>
    </row>
    <row r="16" spans="1:66" ht="25" customHeight="1" x14ac:dyDescent="0.2">
      <c r="C16" s="76" t="s">
        <v>100</v>
      </c>
      <c r="D16" s="77"/>
      <c r="E16" s="77"/>
      <c r="F16" s="77"/>
      <c r="G16" s="77"/>
      <c r="H16" s="77"/>
      <c r="I16" s="77"/>
      <c r="J16" s="77"/>
      <c r="K16" s="77"/>
      <c r="L16" s="77"/>
      <c r="M16" s="77"/>
      <c r="N16" s="78"/>
      <c r="O16" s="175" t="str">
        <f>IF(TRIM(PlanPruebas!O16)="","",TRIM(PlanPruebas!O16))</f>
        <v/>
      </c>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7"/>
      <c r="BM16" s="29"/>
    </row>
    <row r="17" spans="2:67" ht="25" customHeight="1" x14ac:dyDescent="0.2">
      <c r="C17" s="76" t="s">
        <v>101</v>
      </c>
      <c r="D17" s="77"/>
      <c r="E17" s="77"/>
      <c r="F17" s="77"/>
      <c r="G17" s="77"/>
      <c r="H17" s="77"/>
      <c r="I17" s="77"/>
      <c r="J17" s="77"/>
      <c r="K17" s="77"/>
      <c r="L17" s="77"/>
      <c r="M17" s="77"/>
      <c r="N17" s="78"/>
      <c r="O17" s="175" t="str">
        <f>IF(TRIM(PlanPruebas!O17)="","",TRIM(PlanPruebas!O17))</f>
        <v>Proyecto like me E-comerce</v>
      </c>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7"/>
      <c r="BM17" s="29"/>
      <c r="BN17" s="30"/>
      <c r="BO17" s="30"/>
    </row>
    <row r="18" spans="2:67" ht="25" customHeight="1" x14ac:dyDescent="0.2">
      <c r="C18" s="76" t="s">
        <v>102</v>
      </c>
      <c r="D18" s="77"/>
      <c r="E18" s="77"/>
      <c r="F18" s="77"/>
      <c r="G18" s="77"/>
      <c r="H18" s="77"/>
      <c r="I18" s="77"/>
      <c r="J18" s="77"/>
      <c r="K18" s="77"/>
      <c r="L18" s="77"/>
      <c r="M18" s="77"/>
      <c r="N18" s="78"/>
      <c r="O18" s="175" t="str">
        <f>IF(TRIM(PlanPruebas!O18)="","",TRIM(PlanPruebas!O18))</f>
        <v/>
      </c>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7"/>
      <c r="BM18" s="29"/>
    </row>
    <row r="19" spans="2:67" ht="25" customHeight="1" x14ac:dyDescent="0.2">
      <c r="B19" s="19"/>
      <c r="C19" s="178" t="s">
        <v>103</v>
      </c>
      <c r="D19" s="179"/>
      <c r="E19" s="179"/>
      <c r="F19" s="179"/>
      <c r="G19" s="179"/>
      <c r="H19" s="179"/>
      <c r="I19" s="179"/>
      <c r="J19" s="179"/>
      <c r="K19" s="179"/>
      <c r="L19" s="179"/>
      <c r="M19" s="179"/>
      <c r="N19" s="180"/>
      <c r="O19" s="181" t="str">
        <f>IF(TRIM(PlanPruebas!O19)="","",TRIM(PlanPruebas!O19))</f>
        <v>Luis Fernando Pineda Urrego</v>
      </c>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3"/>
      <c r="BK19" s="19"/>
      <c r="BM19" s="29"/>
    </row>
    <row r="20" spans="2:67" ht="25" customHeight="1" x14ac:dyDescent="0.2">
      <c r="C20" s="130" t="s">
        <v>104</v>
      </c>
      <c r="D20" s="130"/>
      <c r="E20" s="130"/>
      <c r="F20" s="130"/>
      <c r="G20" s="130"/>
      <c r="H20" s="130"/>
      <c r="I20" s="130"/>
      <c r="J20" s="130"/>
      <c r="K20" s="130"/>
      <c r="L20" s="130"/>
      <c r="M20" s="130"/>
      <c r="N20" s="130"/>
      <c r="O20" s="188"/>
      <c r="P20" s="188"/>
      <c r="Q20" s="188"/>
      <c r="R20" s="188"/>
      <c r="S20" s="188"/>
      <c r="T20" s="188"/>
      <c r="U20" s="188"/>
      <c r="V20" s="188"/>
      <c r="W20" s="188"/>
      <c r="X20" s="188"/>
      <c r="Y20" s="188"/>
      <c r="Z20" s="188"/>
      <c r="AA20" s="188"/>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M20" s="29"/>
    </row>
    <row r="21" spans="2:67" ht="25" customHeight="1" x14ac:dyDescent="0.2">
      <c r="C21" s="130" t="s">
        <v>1</v>
      </c>
      <c r="D21" s="130"/>
      <c r="E21" s="130"/>
      <c r="F21" s="130"/>
      <c r="G21" s="130"/>
      <c r="H21" s="130"/>
      <c r="I21" s="130"/>
      <c r="J21" s="130"/>
      <c r="K21" s="130"/>
      <c r="L21" s="130"/>
      <c r="M21" s="130"/>
      <c r="N21" s="130"/>
      <c r="O21" s="188"/>
      <c r="P21" s="188"/>
      <c r="Q21" s="188"/>
      <c r="R21" s="188"/>
      <c r="S21" s="188"/>
      <c r="T21" s="188"/>
      <c r="U21" s="188"/>
      <c r="V21" s="188"/>
      <c r="W21" s="188"/>
      <c r="X21" s="188"/>
      <c r="Y21" s="188"/>
      <c r="Z21" s="188"/>
      <c r="AA21" s="188"/>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M21" s="29"/>
    </row>
    <row r="22" spans="2:67" ht="25" customHeight="1" x14ac:dyDescent="0.2">
      <c r="C22" s="3"/>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BM22" s="29"/>
    </row>
    <row r="23" spans="2:67" ht="16" thickBot="1" x14ac:dyDescent="0.25">
      <c r="C23" s="22" t="s">
        <v>139</v>
      </c>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M23" s="29"/>
    </row>
    <row r="24" spans="2:67" ht="15" customHeight="1" x14ac:dyDescent="0.2">
      <c r="BM24" s="29"/>
    </row>
    <row r="25" spans="2:67" ht="25" customHeight="1" x14ac:dyDescent="0.2">
      <c r="C25" s="163" t="s">
        <v>140</v>
      </c>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5"/>
      <c r="AE25" s="218" t="s">
        <v>141</v>
      </c>
      <c r="AF25" s="219"/>
      <c r="AG25" s="220"/>
      <c r="AH25" s="163" t="s">
        <v>142</v>
      </c>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J25" s="165"/>
      <c r="BM25" s="29"/>
    </row>
    <row r="26" spans="2:67" ht="25" customHeight="1" x14ac:dyDescent="0.2">
      <c r="B26" s="18">
        <f>COUNTA(C26:BJ26)</f>
        <v>1</v>
      </c>
      <c r="C26" s="191" t="s">
        <v>143</v>
      </c>
      <c r="D26" s="192"/>
      <c r="E26" s="192"/>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3"/>
      <c r="AE26" s="204"/>
      <c r="AF26" s="205"/>
      <c r="AG26" s="206"/>
      <c r="AH26" s="191"/>
      <c r="AI26" s="192"/>
      <c r="AJ26" s="192"/>
      <c r="AK26" s="192"/>
      <c r="AL26" s="192"/>
      <c r="AM26" s="192"/>
      <c r="AN26" s="192"/>
      <c r="AO26" s="192"/>
      <c r="AP26" s="192"/>
      <c r="AQ26" s="192"/>
      <c r="AR26" s="192"/>
      <c r="AS26" s="192"/>
      <c r="AT26" s="192"/>
      <c r="AU26" s="192"/>
      <c r="AV26" s="192"/>
      <c r="AW26" s="192"/>
      <c r="AX26" s="192"/>
      <c r="AY26" s="192"/>
      <c r="AZ26" s="192"/>
      <c r="BA26" s="192"/>
      <c r="BB26" s="192"/>
      <c r="BC26" s="192"/>
      <c r="BD26" s="192"/>
      <c r="BE26" s="192"/>
      <c r="BF26" s="192"/>
      <c r="BG26" s="192"/>
      <c r="BH26" s="192"/>
      <c r="BI26" s="192"/>
      <c r="BJ26" s="193"/>
      <c r="BM26" s="29"/>
    </row>
    <row r="27" spans="2:67" ht="25" customHeight="1" x14ac:dyDescent="0.2">
      <c r="B27" s="18">
        <f>COUNTA(C27:BJ27)</f>
        <v>1</v>
      </c>
      <c r="C27" s="191" t="s">
        <v>144</v>
      </c>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3"/>
      <c r="AE27" s="204"/>
      <c r="AF27" s="205"/>
      <c r="AG27" s="206"/>
      <c r="AH27" s="191"/>
      <c r="AI27" s="192"/>
      <c r="AJ27" s="192"/>
      <c r="AK27" s="192"/>
      <c r="AL27" s="192"/>
      <c r="AM27" s="192"/>
      <c r="AN27" s="192"/>
      <c r="AO27" s="192"/>
      <c r="AP27" s="192"/>
      <c r="AQ27" s="192"/>
      <c r="AR27" s="192"/>
      <c r="AS27" s="192"/>
      <c r="AT27" s="192"/>
      <c r="AU27" s="192"/>
      <c r="AV27" s="192"/>
      <c r="AW27" s="192"/>
      <c r="AX27" s="192"/>
      <c r="AY27" s="192"/>
      <c r="AZ27" s="192"/>
      <c r="BA27" s="192"/>
      <c r="BB27" s="192"/>
      <c r="BC27" s="192"/>
      <c r="BD27" s="192"/>
      <c r="BE27" s="192"/>
      <c r="BF27" s="192"/>
      <c r="BG27" s="192"/>
      <c r="BH27" s="192"/>
      <c r="BI27" s="192"/>
      <c r="BJ27" s="193"/>
      <c r="BM27" s="29"/>
    </row>
    <row r="28" spans="2:67" ht="25" customHeight="1" x14ac:dyDescent="0.2">
      <c r="B28" s="18">
        <f>COUNTA(C28:BJ28)</f>
        <v>1</v>
      </c>
      <c r="C28" s="201" t="s">
        <v>145</v>
      </c>
      <c r="D28" s="202"/>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3"/>
      <c r="AE28" s="221"/>
      <c r="AF28" s="222"/>
      <c r="AG28" s="223"/>
      <c r="AH28" s="201"/>
      <c r="AI28" s="202"/>
      <c r="AJ28" s="202"/>
      <c r="AK28" s="202"/>
      <c r="AL28" s="202"/>
      <c r="AM28" s="202"/>
      <c r="AN28" s="202"/>
      <c r="AO28" s="202"/>
      <c r="AP28" s="202"/>
      <c r="AQ28" s="202"/>
      <c r="AR28" s="202"/>
      <c r="AS28" s="202"/>
      <c r="AT28" s="202"/>
      <c r="AU28" s="202"/>
      <c r="AV28" s="202"/>
      <c r="AW28" s="202"/>
      <c r="AX28" s="202"/>
      <c r="AY28" s="202"/>
      <c r="AZ28" s="202"/>
      <c r="BA28" s="202"/>
      <c r="BB28" s="202"/>
      <c r="BC28" s="202"/>
      <c r="BD28" s="202"/>
      <c r="BE28" s="202"/>
      <c r="BF28" s="202"/>
      <c r="BG28" s="202"/>
      <c r="BH28" s="202"/>
      <c r="BI28" s="202"/>
      <c r="BJ28" s="203"/>
      <c r="BK28" s="19"/>
      <c r="BM28" s="29"/>
    </row>
    <row r="29" spans="2:67" ht="25" customHeight="1" x14ac:dyDescent="0.2">
      <c r="C29" s="131" t="s">
        <v>52</v>
      </c>
      <c r="D29" s="131"/>
      <c r="E29" s="131"/>
      <c r="F29" s="131"/>
      <c r="G29" s="131"/>
      <c r="H29" s="131"/>
      <c r="I29" s="131"/>
      <c r="J29" s="131"/>
      <c r="K29" s="131"/>
      <c r="L29" s="131"/>
      <c r="M29" s="131"/>
      <c r="N29" s="131"/>
      <c r="O29" s="131"/>
      <c r="P29" s="131"/>
      <c r="Q29" s="131"/>
      <c r="R29" s="131"/>
      <c r="S29" s="131"/>
      <c r="T29" s="131"/>
      <c r="U29" s="131"/>
      <c r="V29" s="131"/>
      <c r="W29" s="131"/>
      <c r="X29" s="131"/>
      <c r="Y29" s="131"/>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c r="AY29" s="131"/>
      <c r="AZ29" s="131"/>
      <c r="BA29" s="131"/>
      <c r="BB29" s="131"/>
      <c r="BC29" s="131"/>
      <c r="BD29" s="131"/>
      <c r="BE29" s="131"/>
      <c r="BF29" s="131"/>
      <c r="BG29" s="74" t="s">
        <v>53</v>
      </c>
      <c r="BH29" s="75"/>
      <c r="BI29" s="74" t="s">
        <v>54</v>
      </c>
      <c r="BJ29" s="75"/>
      <c r="BM29" s="29">
        <v>1</v>
      </c>
    </row>
    <row r="30" spans="2:67" ht="25" customHeight="1" x14ac:dyDescent="0.2">
      <c r="C30" s="9"/>
      <c r="D30" s="9"/>
      <c r="E30" s="9"/>
      <c r="K30" s="9"/>
      <c r="L30" s="9"/>
      <c r="M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M30" s="29"/>
    </row>
    <row r="31" spans="2:67" ht="25" customHeight="1" x14ac:dyDescent="0.2">
      <c r="C31" s="189" t="s">
        <v>146</v>
      </c>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c r="AB31" s="189"/>
      <c r="AC31" s="189"/>
      <c r="AD31" s="189"/>
      <c r="AE31" s="189"/>
      <c r="AF31" s="189"/>
      <c r="AG31" s="189"/>
      <c r="AH31" s="189"/>
      <c r="AI31" s="189"/>
      <c r="AJ31" s="189"/>
      <c r="AK31" s="189"/>
      <c r="AL31" s="189"/>
      <c r="AM31" s="189"/>
      <c r="AN31" s="189"/>
      <c r="AO31" s="189"/>
      <c r="AP31" s="189"/>
      <c r="AQ31" s="189"/>
      <c r="AR31" s="189"/>
      <c r="AS31" s="189"/>
      <c r="AT31" s="189"/>
      <c r="AU31" s="189"/>
      <c r="AV31" s="189"/>
      <c r="AW31" s="189"/>
      <c r="AX31" s="189"/>
      <c r="AY31" s="189"/>
      <c r="AZ31" s="189"/>
      <c r="BA31" s="189"/>
      <c r="BB31" s="189"/>
      <c r="BC31" s="189"/>
      <c r="BD31" s="189"/>
      <c r="BE31" s="189"/>
      <c r="BF31" s="189"/>
      <c r="BG31" s="189"/>
      <c r="BH31" s="189"/>
      <c r="BI31" s="189"/>
      <c r="BJ31" s="189"/>
      <c r="BM31" s="29"/>
    </row>
    <row r="32" spans="2:67" x14ac:dyDescent="0.2">
      <c r="C32" s="207"/>
      <c r="D32" s="207"/>
      <c r="E32" s="207"/>
      <c r="F32" s="207"/>
      <c r="G32" s="207"/>
      <c r="H32" s="207"/>
      <c r="I32" s="207"/>
      <c r="J32" s="207"/>
      <c r="K32" s="207"/>
      <c r="L32" s="207"/>
      <c r="M32" s="207"/>
      <c r="N32" s="207"/>
      <c r="O32" s="207"/>
      <c r="P32" s="207"/>
      <c r="Q32" s="207"/>
      <c r="R32" s="207"/>
      <c r="S32" s="207"/>
      <c r="T32" s="207"/>
      <c r="U32" s="207"/>
      <c r="V32" s="207"/>
      <c r="W32" s="207"/>
      <c r="X32" s="207"/>
      <c r="Y32" s="207"/>
      <c r="Z32" s="207"/>
      <c r="AA32" s="207"/>
      <c r="AB32" s="207"/>
      <c r="AC32" s="207"/>
      <c r="AD32" s="207"/>
      <c r="AE32" s="207"/>
      <c r="AF32" s="207"/>
      <c r="AG32" s="207"/>
      <c r="AH32" s="207"/>
      <c r="AI32" s="207"/>
      <c r="AJ32" s="207"/>
      <c r="AK32" s="207"/>
      <c r="AL32" s="207"/>
      <c r="AM32" s="207"/>
      <c r="AN32" s="207"/>
      <c r="AO32" s="207"/>
      <c r="AP32" s="207"/>
      <c r="AQ32" s="207"/>
      <c r="AR32" s="207"/>
      <c r="AS32" s="207"/>
      <c r="AT32" s="207"/>
      <c r="AU32" s="207"/>
      <c r="AV32" s="207"/>
      <c r="AW32" s="207"/>
      <c r="AX32" s="207"/>
      <c r="AY32" s="207"/>
      <c r="AZ32" s="207"/>
      <c r="BA32" s="207"/>
      <c r="BB32" s="207"/>
      <c r="BC32" s="207"/>
      <c r="BD32" s="207"/>
      <c r="BE32" s="207"/>
      <c r="BF32" s="207"/>
      <c r="BG32" s="207"/>
      <c r="BH32" s="207"/>
      <c r="BI32" s="207"/>
      <c r="BJ32" s="207"/>
      <c r="BM32" s="29"/>
    </row>
    <row r="33" spans="2:65" ht="25" customHeight="1" x14ac:dyDescent="0.2">
      <c r="C33" s="189" t="s">
        <v>147</v>
      </c>
      <c r="D33" s="189"/>
      <c r="E33" s="189"/>
      <c r="F33" s="189"/>
      <c r="G33" s="189"/>
      <c r="H33" s="189"/>
      <c r="I33" s="189"/>
      <c r="J33" s="189"/>
      <c r="K33" s="189"/>
      <c r="L33" s="189"/>
      <c r="M33" s="189"/>
      <c r="N33" s="189"/>
      <c r="O33" s="189"/>
      <c r="P33" s="189"/>
      <c r="Q33" s="189"/>
      <c r="R33" s="189"/>
      <c r="S33" s="189"/>
      <c r="T33" s="189"/>
      <c r="U33" s="189"/>
      <c r="V33" s="189"/>
      <c r="W33" s="189"/>
      <c r="X33" s="189"/>
      <c r="Y33" s="189"/>
      <c r="Z33" s="189"/>
      <c r="AA33" s="189"/>
      <c r="AB33" s="189"/>
      <c r="AC33" s="189"/>
      <c r="AD33" s="189"/>
      <c r="AE33" s="189"/>
      <c r="AF33" s="189"/>
      <c r="AG33" s="189"/>
      <c r="AH33" s="189"/>
      <c r="AI33" s="189"/>
      <c r="AJ33" s="189"/>
      <c r="AK33" s="189"/>
      <c r="AL33" s="189"/>
      <c r="AM33" s="189"/>
      <c r="AN33" s="189"/>
      <c r="AO33" s="189"/>
      <c r="AP33" s="189"/>
      <c r="AQ33" s="189"/>
      <c r="AR33" s="189"/>
      <c r="AS33" s="189"/>
      <c r="AT33" s="189"/>
      <c r="AU33" s="189"/>
      <c r="AV33" s="189"/>
      <c r="AW33" s="189"/>
      <c r="AX33" s="189"/>
      <c r="AY33" s="189"/>
      <c r="AZ33" s="189"/>
      <c r="BA33" s="189"/>
      <c r="BB33" s="189"/>
      <c r="BC33" s="189"/>
      <c r="BD33" s="189"/>
      <c r="BE33" s="189"/>
      <c r="BF33" s="189"/>
      <c r="BG33" s="189"/>
      <c r="BH33" s="189"/>
      <c r="BI33" s="189"/>
      <c r="BJ33" s="189"/>
      <c r="BM33" s="29"/>
    </row>
    <row r="34" spans="2:65" ht="24.75" customHeight="1" x14ac:dyDescent="0.2">
      <c r="C34" s="3"/>
      <c r="D34" s="21"/>
      <c r="E34" s="21"/>
      <c r="F34" s="21"/>
      <c r="G34" s="3"/>
      <c r="H34" s="21"/>
      <c r="I34" s="21"/>
      <c r="J34" s="21"/>
      <c r="K34" s="3"/>
      <c r="L34" s="21"/>
      <c r="M34" s="21"/>
      <c r="N34" s="21"/>
      <c r="O34" s="3"/>
      <c r="P34" s="21"/>
      <c r="Q34" s="21"/>
      <c r="R34" s="21"/>
      <c r="S34" s="3"/>
      <c r="T34" s="21"/>
      <c r="U34" s="21"/>
      <c r="V34" s="21"/>
      <c r="W34" s="3"/>
      <c r="X34" s="21"/>
      <c r="Y34" s="21"/>
      <c r="Z34" s="21"/>
      <c r="AA34" s="3"/>
      <c r="AB34" s="21"/>
      <c r="AC34" s="21"/>
      <c r="AD34" s="21"/>
      <c r="AE34" s="3"/>
      <c r="AF34" s="21"/>
      <c r="AG34" s="21"/>
      <c r="AH34" s="21"/>
      <c r="AI34" s="21"/>
      <c r="AJ34" s="21"/>
      <c r="AK34" s="21"/>
      <c r="AL34" s="21"/>
      <c r="AM34" s="21"/>
      <c r="AN34" s="21"/>
      <c r="BM34" s="29"/>
    </row>
    <row r="35" spans="2:65" ht="16" thickBot="1" x14ac:dyDescent="0.25">
      <c r="C35" s="22" t="s">
        <v>118</v>
      </c>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M35" s="29">
        <f>IF($BI$36="No",1,"")</f>
        <v>1</v>
      </c>
    </row>
    <row r="36" spans="2:65" x14ac:dyDescent="0.2">
      <c r="C36" s="26"/>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8" t="s">
        <v>61</v>
      </c>
      <c r="BI36" s="114" t="s">
        <v>82</v>
      </c>
      <c r="BJ36" s="114"/>
      <c r="BM36" s="29">
        <v>1</v>
      </c>
    </row>
    <row r="37" spans="2:65" ht="15" customHeight="1" x14ac:dyDescent="0.2">
      <c r="C37" s="3"/>
      <c r="D37" s="21"/>
      <c r="E37" s="21"/>
      <c r="F37" s="3"/>
      <c r="G37" s="21"/>
      <c r="H37" s="21"/>
      <c r="I37" s="3"/>
      <c r="J37" s="21"/>
      <c r="K37" s="21"/>
      <c r="L37" s="3"/>
      <c r="M37" s="21"/>
      <c r="N37" s="21"/>
      <c r="O37" s="3"/>
      <c r="P37" s="21"/>
      <c r="Q37" s="21"/>
      <c r="R37" s="3"/>
      <c r="S37" s="21"/>
      <c r="T37" s="21"/>
      <c r="U37" s="3"/>
      <c r="V37" s="21"/>
      <c r="W37" s="21"/>
      <c r="X37" s="3"/>
      <c r="Y37" s="21"/>
      <c r="Z37" s="21"/>
      <c r="AA37" s="3"/>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M37" s="29">
        <f>IF($BI$36="No",1,"")</f>
        <v>1</v>
      </c>
    </row>
    <row r="38" spans="2:65" ht="25" customHeight="1" x14ac:dyDescent="0.2">
      <c r="B38" s="18">
        <f>COUNTA(C38:BJ38)</f>
        <v>0</v>
      </c>
      <c r="C38" s="82"/>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4"/>
      <c r="BM38" s="29">
        <f>IF($BI$36="No",1,"")</f>
        <v>1</v>
      </c>
    </row>
    <row r="39" spans="2:65" ht="25" customHeight="1" x14ac:dyDescent="0.2">
      <c r="B39" s="18">
        <f>COUNTA(C39:BJ39)</f>
        <v>0</v>
      </c>
      <c r="C39" s="57"/>
      <c r="D39" s="64"/>
      <c r="E39" s="64"/>
      <c r="F39" s="64"/>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59"/>
      <c r="BM39" s="29">
        <f>IF($BI$36="No",1,"")</f>
        <v>1</v>
      </c>
    </row>
    <row r="40" spans="2:65" ht="25" customHeight="1" x14ac:dyDescent="0.2">
      <c r="B40" s="18">
        <f>COUNTA(C40:BJ40)</f>
        <v>0</v>
      </c>
      <c r="C40" s="65"/>
      <c r="D40" s="55"/>
      <c r="E40" s="55"/>
      <c r="F40" s="55"/>
      <c r="G40" s="55"/>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66"/>
      <c r="BK40" s="19"/>
      <c r="BM40" s="29">
        <f>IF($BI$36="No",1,"")</f>
        <v>1</v>
      </c>
    </row>
    <row r="41" spans="2:65" ht="25" customHeight="1" x14ac:dyDescent="0.2">
      <c r="C41" s="71" t="s">
        <v>52</v>
      </c>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3"/>
      <c r="BG41" s="74" t="s">
        <v>53</v>
      </c>
      <c r="BH41" s="75"/>
      <c r="BI41" s="74" t="s">
        <v>54</v>
      </c>
      <c r="BJ41" s="75"/>
      <c r="BM41" s="29">
        <v>1</v>
      </c>
    </row>
    <row r="42" spans="2:65" ht="15" customHeight="1" x14ac:dyDescent="0.2">
      <c r="C42" s="3"/>
      <c r="D42" s="21"/>
      <c r="E42" s="21"/>
      <c r="F42" s="21"/>
      <c r="G42" s="3"/>
      <c r="H42" s="21"/>
      <c r="I42" s="21"/>
      <c r="J42" s="21"/>
      <c r="K42" s="3"/>
      <c r="L42" s="21"/>
      <c r="M42" s="21"/>
      <c r="N42" s="21"/>
      <c r="O42" s="3"/>
      <c r="P42" s="21"/>
      <c r="Q42" s="21"/>
      <c r="R42" s="21"/>
      <c r="S42" s="3"/>
      <c r="T42" s="21"/>
      <c r="U42" s="21"/>
      <c r="V42" s="21"/>
      <c r="W42" s="3"/>
      <c r="X42" s="21"/>
      <c r="Y42" s="21"/>
      <c r="Z42" s="21"/>
      <c r="AA42" s="3"/>
      <c r="AB42" s="21"/>
      <c r="AC42" s="21"/>
      <c r="AD42" s="21"/>
      <c r="AE42" s="3"/>
      <c r="AF42" s="21"/>
      <c r="AG42" s="21"/>
      <c r="AH42" s="21"/>
      <c r="AI42" s="21"/>
      <c r="AJ42" s="21"/>
      <c r="AK42" s="21"/>
      <c r="AL42" s="21"/>
      <c r="AM42" s="21"/>
      <c r="AN42" s="21"/>
      <c r="BM42" s="29">
        <f>IF($BI$36="No",1,"")</f>
        <v>1</v>
      </c>
    </row>
    <row r="43" spans="2:65" ht="15" customHeight="1" x14ac:dyDescent="0.2">
      <c r="C43" s="36" t="s">
        <v>119</v>
      </c>
      <c r="D43" s="21"/>
      <c r="E43" s="21"/>
      <c r="F43" s="21"/>
      <c r="G43" s="3"/>
      <c r="H43" s="21"/>
      <c r="I43" s="21"/>
      <c r="J43" s="21"/>
      <c r="K43" s="3"/>
      <c r="L43" s="21"/>
      <c r="M43" s="21"/>
      <c r="N43" s="21"/>
      <c r="O43" s="3"/>
      <c r="P43" s="21"/>
      <c r="Q43" s="21"/>
      <c r="R43" s="21"/>
      <c r="S43" s="3"/>
      <c r="T43" s="21"/>
      <c r="U43" s="21"/>
      <c r="V43" s="21"/>
      <c r="W43" s="3"/>
      <c r="X43" s="21"/>
      <c r="Y43" s="21"/>
      <c r="Z43" s="21"/>
      <c r="AA43" s="3"/>
      <c r="AB43" s="21"/>
      <c r="AC43" s="21"/>
      <c r="AD43" s="21"/>
      <c r="AE43" s="3"/>
      <c r="AF43" s="21"/>
      <c r="AG43" s="21"/>
      <c r="AH43" s="21"/>
      <c r="AI43" s="21"/>
      <c r="AJ43" s="21"/>
      <c r="AK43" s="21"/>
      <c r="AL43" s="21"/>
      <c r="AM43" s="21"/>
      <c r="AN43" s="21"/>
      <c r="BM43" s="29"/>
    </row>
    <row r="44" spans="2:65" ht="15" customHeight="1" x14ac:dyDescent="0.2">
      <c r="C44" s="21"/>
      <c r="D44" s="21"/>
      <c r="E44" s="21"/>
      <c r="F44" s="21"/>
      <c r="G44" s="21"/>
      <c r="H44" s="21"/>
      <c r="I44" s="21"/>
      <c r="J44" s="21"/>
      <c r="K44" s="21"/>
      <c r="L44" s="21"/>
      <c r="M44" s="21"/>
      <c r="N44" s="21"/>
      <c r="O44" s="21"/>
      <c r="P44" s="21"/>
      <c r="Q44" s="21"/>
      <c r="R44" s="21"/>
      <c r="S44" s="3"/>
      <c r="T44" s="21"/>
      <c r="U44" s="21"/>
      <c r="V44" s="21"/>
      <c r="W44" s="3"/>
      <c r="X44" s="21"/>
      <c r="Y44" s="21"/>
      <c r="Z44" s="21"/>
      <c r="AA44" s="3"/>
      <c r="AB44" s="21"/>
      <c r="AC44" s="21"/>
      <c r="AD44" s="21"/>
      <c r="AE44" s="3"/>
      <c r="AF44" s="21"/>
      <c r="AG44" s="21"/>
      <c r="AH44" s="21"/>
      <c r="AI44" s="21"/>
      <c r="AJ44" s="21"/>
      <c r="AK44" s="21"/>
      <c r="AL44" s="21"/>
      <c r="AM44" s="21"/>
      <c r="AN44" s="21"/>
      <c r="BM44" s="29"/>
    </row>
    <row r="45" spans="2:65" ht="25" customHeight="1" x14ac:dyDescent="0.2">
      <c r="C45" s="163" t="s">
        <v>77</v>
      </c>
      <c r="D45" s="164"/>
      <c r="E45" s="164"/>
      <c r="F45" s="164"/>
      <c r="G45" s="164"/>
      <c r="H45" s="164"/>
      <c r="I45" s="164"/>
      <c r="J45" s="164"/>
      <c r="K45" s="164"/>
      <c r="L45" s="164"/>
      <c r="M45" s="164"/>
      <c r="N45" s="164"/>
      <c r="O45" s="164"/>
      <c r="P45" s="164"/>
      <c r="Q45" s="165"/>
      <c r="R45" s="138" t="s">
        <v>120</v>
      </c>
      <c r="S45" s="138"/>
      <c r="T45" s="138"/>
      <c r="U45" s="138"/>
      <c r="V45" s="138"/>
      <c r="W45" s="138"/>
      <c r="X45" s="138"/>
      <c r="Y45" s="138"/>
      <c r="Z45" s="138"/>
      <c r="AA45" s="138"/>
      <c r="AB45" s="138"/>
      <c r="AC45" s="138"/>
      <c r="AD45" s="138"/>
      <c r="AE45" s="138"/>
      <c r="AF45" s="138"/>
      <c r="AG45" s="138" t="s">
        <v>121</v>
      </c>
      <c r="AH45" s="138"/>
      <c r="AI45" s="138"/>
      <c r="AJ45" s="138"/>
      <c r="AK45" s="138"/>
      <c r="AL45" s="138"/>
      <c r="AM45" s="138"/>
      <c r="AN45" s="138"/>
      <c r="AO45" s="138"/>
      <c r="AP45" s="138"/>
      <c r="AQ45" s="138"/>
      <c r="AR45" s="138"/>
      <c r="AS45" s="138"/>
      <c r="AT45" s="138"/>
      <c r="AU45" s="138"/>
      <c r="AV45" s="138" t="s">
        <v>122</v>
      </c>
      <c r="AW45" s="138"/>
      <c r="AX45" s="138"/>
      <c r="AY45" s="138"/>
      <c r="AZ45" s="138"/>
      <c r="BA45" s="138"/>
      <c r="BB45" s="138"/>
      <c r="BC45" s="138"/>
      <c r="BD45" s="138"/>
      <c r="BE45" s="138"/>
      <c r="BF45" s="138"/>
      <c r="BG45" s="138"/>
      <c r="BH45" s="138"/>
      <c r="BI45" s="138"/>
      <c r="BJ45" s="138"/>
      <c r="BM45" s="29"/>
    </row>
    <row r="46" spans="2:65" ht="25" customHeight="1" x14ac:dyDescent="0.2">
      <c r="B46" s="18">
        <f>COUNTA(C46:BJ46)</f>
        <v>0</v>
      </c>
      <c r="C46" s="191"/>
      <c r="D46" s="192"/>
      <c r="E46" s="192"/>
      <c r="F46" s="192"/>
      <c r="G46" s="192"/>
      <c r="H46" s="192"/>
      <c r="I46" s="192"/>
      <c r="J46" s="192"/>
      <c r="K46" s="192"/>
      <c r="L46" s="192"/>
      <c r="M46" s="192"/>
      <c r="N46" s="192"/>
      <c r="O46" s="192"/>
      <c r="P46" s="192"/>
      <c r="Q46" s="193"/>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M46" s="29"/>
    </row>
    <row r="47" spans="2:65" ht="25" customHeight="1" x14ac:dyDescent="0.2">
      <c r="B47" s="18">
        <f>COUNTA(C47:BJ47)</f>
        <v>0</v>
      </c>
      <c r="C47" s="191"/>
      <c r="D47" s="192"/>
      <c r="E47" s="192"/>
      <c r="F47" s="192"/>
      <c r="G47" s="192"/>
      <c r="H47" s="192"/>
      <c r="I47" s="192"/>
      <c r="J47" s="192"/>
      <c r="K47" s="192"/>
      <c r="L47" s="192"/>
      <c r="M47" s="192"/>
      <c r="N47" s="192"/>
      <c r="O47" s="192"/>
      <c r="P47" s="192"/>
      <c r="Q47" s="193"/>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M47" s="29"/>
    </row>
    <row r="48" spans="2:65" ht="25" customHeight="1" x14ac:dyDescent="0.2">
      <c r="B48" s="18">
        <f>COUNTA(C48:BJ48)</f>
        <v>0</v>
      </c>
      <c r="C48" s="201"/>
      <c r="D48" s="202"/>
      <c r="E48" s="202"/>
      <c r="F48" s="202"/>
      <c r="G48" s="202"/>
      <c r="H48" s="202"/>
      <c r="I48" s="202"/>
      <c r="J48" s="202"/>
      <c r="K48" s="202"/>
      <c r="L48" s="202"/>
      <c r="M48" s="202"/>
      <c r="N48" s="202"/>
      <c r="O48" s="202"/>
      <c r="P48" s="202"/>
      <c r="Q48" s="203"/>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9"/>
      <c r="BM48" s="29"/>
    </row>
    <row r="49" spans="3:65" ht="25" customHeight="1" x14ac:dyDescent="0.2">
      <c r="C49" s="131" t="s">
        <v>52</v>
      </c>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c r="AY49" s="131"/>
      <c r="AZ49" s="131"/>
      <c r="BA49" s="131"/>
      <c r="BB49" s="131"/>
      <c r="BC49" s="131"/>
      <c r="BD49" s="131"/>
      <c r="BE49" s="131"/>
      <c r="BF49" s="131"/>
      <c r="BG49" s="74" t="s">
        <v>53</v>
      </c>
      <c r="BH49" s="75"/>
      <c r="BI49" s="74" t="s">
        <v>54</v>
      </c>
      <c r="BJ49" s="75"/>
      <c r="BM49" s="29">
        <v>1</v>
      </c>
    </row>
    <row r="50" spans="3:65" ht="25" customHeight="1" x14ac:dyDescent="0.2">
      <c r="C50" s="9"/>
      <c r="D50" s="9"/>
      <c r="E50" s="9"/>
      <c r="K50" s="9"/>
      <c r="L50" s="9"/>
      <c r="M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M50" s="29"/>
    </row>
    <row r="51" spans="3:65" ht="25" customHeight="1" x14ac:dyDescent="0.2">
      <c r="C51" s="130" t="s">
        <v>137</v>
      </c>
      <c r="D51" s="130"/>
      <c r="E51" s="130"/>
      <c r="F51" s="130"/>
      <c r="G51" s="130"/>
      <c r="H51" s="130"/>
      <c r="I51" s="130"/>
      <c r="J51" s="130"/>
      <c r="K51" s="130"/>
      <c r="L51" s="130"/>
      <c r="M51" s="130"/>
      <c r="N51" s="130"/>
      <c r="O51" s="208"/>
      <c r="P51" s="208"/>
      <c r="Q51" s="208"/>
      <c r="R51" s="208"/>
      <c r="S51" s="208"/>
      <c r="T51" s="208"/>
      <c r="U51" s="208"/>
      <c r="V51" s="208"/>
      <c r="W51" s="208"/>
      <c r="X51" s="208"/>
      <c r="Y51" s="208"/>
      <c r="Z51" s="208"/>
      <c r="AA51" s="208"/>
      <c r="AB51" s="187"/>
      <c r="AC51" s="187"/>
      <c r="AD51" s="187"/>
      <c r="AE51" s="187"/>
      <c r="AF51" s="187"/>
      <c r="AG51" s="187"/>
      <c r="AH51" s="187"/>
      <c r="AI51" s="187"/>
      <c r="AJ51" s="187"/>
      <c r="AK51" s="187"/>
      <c r="AL51" s="187"/>
      <c r="AM51" s="187"/>
      <c r="AN51" s="187"/>
      <c r="AO51" s="187"/>
      <c r="AP51" s="187"/>
      <c r="AQ51" s="187"/>
      <c r="AR51" s="187"/>
      <c r="AS51" s="187"/>
      <c r="AT51" s="187"/>
      <c r="AU51" s="187"/>
      <c r="AV51" s="187"/>
      <c r="AW51" s="187"/>
      <c r="AX51" s="187"/>
      <c r="AY51" s="187"/>
      <c r="AZ51" s="187"/>
      <c r="BA51" s="187"/>
      <c r="BB51" s="187"/>
      <c r="BC51" s="187"/>
      <c r="BD51" s="187"/>
      <c r="BE51" s="187"/>
      <c r="BF51" s="187"/>
      <c r="BG51" s="187"/>
      <c r="BH51" s="187"/>
      <c r="BI51" s="187"/>
      <c r="BJ51" s="187"/>
      <c r="BM51" s="29"/>
    </row>
    <row r="52" spans="3:65" ht="25" customHeight="1" x14ac:dyDescent="0.2">
      <c r="C52" s="9"/>
      <c r="D52" s="9"/>
      <c r="E52" s="9"/>
      <c r="K52" s="9"/>
      <c r="L52" s="9"/>
      <c r="M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M52" s="29"/>
    </row>
    <row r="53" spans="3:65" ht="16" thickBot="1" x14ac:dyDescent="0.25">
      <c r="C53" s="22" t="s">
        <v>95</v>
      </c>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c r="BH53" s="22"/>
      <c r="BI53" s="22"/>
      <c r="BJ53" s="22"/>
      <c r="BM53" s="29">
        <v>1</v>
      </c>
    </row>
    <row r="54" spans="3:65" x14ac:dyDescent="0.2">
      <c r="BM54" s="29">
        <v>1</v>
      </c>
    </row>
    <row r="55" spans="3:65" x14ac:dyDescent="0.2">
      <c r="K55" s="33"/>
      <c r="L55" s="33"/>
      <c r="M55" s="33"/>
      <c r="N55" s="142" t="s">
        <v>123</v>
      </c>
      <c r="O55" s="142"/>
      <c r="P55" s="142"/>
      <c r="Q55" s="142"/>
      <c r="R55" s="142"/>
      <c r="S55" s="142"/>
      <c r="T55" s="142"/>
      <c r="U55" s="142"/>
      <c r="V55" s="142"/>
      <c r="W55" s="142"/>
      <c r="X55" s="142"/>
      <c r="Y55" s="142"/>
      <c r="Z55" s="142"/>
      <c r="AA55" s="142"/>
      <c r="AB55" s="142"/>
      <c r="AC55" s="142"/>
      <c r="AD55" s="142"/>
      <c r="AE55" s="142"/>
      <c r="AF55" s="142"/>
      <c r="AG55" s="142"/>
      <c r="AH55" s="142"/>
      <c r="AI55" s="142"/>
      <c r="AJ55" s="142"/>
      <c r="AK55" s="142"/>
      <c r="AL55" s="142"/>
      <c r="AM55" s="142"/>
      <c r="AN55" s="142"/>
      <c r="AO55" s="142"/>
      <c r="AP55" s="142"/>
      <c r="AQ55" s="142"/>
      <c r="AR55" s="142"/>
      <c r="AS55" s="142"/>
      <c r="AT55" s="142"/>
      <c r="AU55" s="142"/>
      <c r="AV55" s="142"/>
      <c r="AW55" s="142"/>
      <c r="AX55" s="142"/>
      <c r="AY55" s="142"/>
      <c r="AZ55" s="142"/>
      <c r="BA55" s="142"/>
      <c r="BB55" s="142"/>
      <c r="BC55" s="142"/>
      <c r="BD55" s="142"/>
      <c r="BE55" s="142"/>
      <c r="BF55" s="142"/>
      <c r="BG55" s="142"/>
      <c r="BH55" s="142"/>
      <c r="BI55" s="142"/>
      <c r="BJ55" s="142"/>
      <c r="BM55" s="29">
        <v>1</v>
      </c>
    </row>
    <row r="56" spans="3:65" x14ac:dyDescent="0.2">
      <c r="K56" s="33"/>
      <c r="L56" s="33"/>
      <c r="M56" s="33"/>
      <c r="N56" s="142"/>
      <c r="O56" s="142"/>
      <c r="P56" s="142"/>
      <c r="Q56" s="142"/>
      <c r="R56" s="142"/>
      <c r="S56" s="142"/>
      <c r="T56" s="142"/>
      <c r="U56" s="142"/>
      <c r="V56" s="142"/>
      <c r="W56" s="142"/>
      <c r="X56" s="142"/>
      <c r="Y56" s="142"/>
      <c r="Z56" s="142"/>
      <c r="AA56" s="142"/>
      <c r="AB56" s="142"/>
      <c r="AC56" s="142"/>
      <c r="AD56" s="142"/>
      <c r="AE56" s="142"/>
      <c r="AF56" s="142"/>
      <c r="AG56" s="142"/>
      <c r="AH56" s="142"/>
      <c r="AI56" s="142"/>
      <c r="AJ56" s="142"/>
      <c r="AK56" s="142"/>
      <c r="AL56" s="142"/>
      <c r="AM56" s="142"/>
      <c r="AN56" s="142"/>
      <c r="AO56" s="142"/>
      <c r="AP56" s="142"/>
      <c r="AQ56" s="142"/>
      <c r="AR56" s="142"/>
      <c r="AS56" s="142"/>
      <c r="AT56" s="142"/>
      <c r="AU56" s="142"/>
      <c r="AV56" s="142"/>
      <c r="AW56" s="142"/>
      <c r="AX56" s="142"/>
      <c r="AY56" s="142"/>
      <c r="AZ56" s="142"/>
      <c r="BA56" s="142"/>
      <c r="BB56" s="142"/>
      <c r="BC56" s="142"/>
      <c r="BD56" s="142"/>
      <c r="BE56" s="142"/>
      <c r="BF56" s="142"/>
      <c r="BG56" s="142"/>
      <c r="BH56" s="142"/>
      <c r="BI56" s="142"/>
      <c r="BJ56" s="142"/>
      <c r="BM56" s="29">
        <v>1</v>
      </c>
    </row>
    <row r="57" spans="3:65" x14ac:dyDescent="0.2">
      <c r="BM57" s="29">
        <v>1</v>
      </c>
    </row>
    <row r="58" spans="3:65" ht="30" customHeight="1" x14ac:dyDescent="0.2">
      <c r="C58" s="140" t="s">
        <v>97</v>
      </c>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M58" s="29"/>
    </row>
    <row r="59" spans="3:65" ht="30" customHeight="1" x14ac:dyDescent="0.2">
      <c r="C59" s="186" t="str">
        <f>"versión "&amp;Parametros!A1&amp;"   -   CONFIDENCIAL"</f>
        <v>versión 1.5   -   CONFIDENCIAL</v>
      </c>
      <c r="D59" s="186"/>
      <c r="E59" s="186"/>
      <c r="F59" s="186"/>
      <c r="G59" s="186"/>
      <c r="H59" s="186"/>
      <c r="I59" s="186"/>
      <c r="J59" s="186"/>
      <c r="K59" s="186"/>
      <c r="L59" s="186"/>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c r="AW59" s="186"/>
      <c r="AX59" s="186"/>
      <c r="AY59" s="186"/>
      <c r="AZ59" s="186"/>
      <c r="BA59" s="186"/>
      <c r="BB59" s="186"/>
      <c r="BC59" s="186"/>
      <c r="BD59" s="186"/>
      <c r="BE59" s="186"/>
      <c r="BF59" s="186"/>
      <c r="BM59" s="29"/>
    </row>
    <row r="60" spans="3:65" ht="30" customHeight="1" x14ac:dyDescent="0.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M60" s="29"/>
    </row>
  </sheetData>
  <sheetProtection algorithmName="SHA-512" hashValue="KAGZPDTQlt2U6fzg8UCIXWScI5J2eZLCDFhDG7jRbOf9bagfloSDJxRIm1aAQAB2UzQ4EXFKiZcrl2X0tx31eg==" saltValue="Q4C3qS0Iv9Tz+laaPJts7w==" spinCount="100000" sheet="1" objects="1" scenarios="1" formatCells="0" formatRows="0" insertHyperlinks="0" autoFilter="0"/>
  <dataConsolidate/>
  <mergeCells count="93">
    <mergeCell ref="C3:O6"/>
    <mergeCell ref="P3:BJ6"/>
    <mergeCell ref="C8:G8"/>
    <mergeCell ref="H8:L8"/>
    <mergeCell ref="M8:Q8"/>
    <mergeCell ref="R8:AF8"/>
    <mergeCell ref="AG8:AU8"/>
    <mergeCell ref="AV8:BJ8"/>
    <mergeCell ref="AV10:BJ10"/>
    <mergeCell ref="C9:G9"/>
    <mergeCell ref="H9:L9"/>
    <mergeCell ref="M9:Q9"/>
    <mergeCell ref="R9:AF9"/>
    <mergeCell ref="AG9:AU9"/>
    <mergeCell ref="AV9:BJ9"/>
    <mergeCell ref="C10:G10"/>
    <mergeCell ref="H10:L10"/>
    <mergeCell ref="M10:Q10"/>
    <mergeCell ref="R10:AF10"/>
    <mergeCell ref="AG10:AU10"/>
    <mergeCell ref="C17:N17"/>
    <mergeCell ref="O17:BJ17"/>
    <mergeCell ref="C11:G11"/>
    <mergeCell ref="H11:L11"/>
    <mergeCell ref="M11:Q11"/>
    <mergeCell ref="R11:AF11"/>
    <mergeCell ref="AG11:AU11"/>
    <mergeCell ref="AV11:BJ11"/>
    <mergeCell ref="C12:BF12"/>
    <mergeCell ref="BG12:BH12"/>
    <mergeCell ref="BI12:BJ12"/>
    <mergeCell ref="C16:N16"/>
    <mergeCell ref="O16:BJ16"/>
    <mergeCell ref="C18:N18"/>
    <mergeCell ref="O18:BJ18"/>
    <mergeCell ref="C19:N19"/>
    <mergeCell ref="O19:BJ19"/>
    <mergeCell ref="C20:N20"/>
    <mergeCell ref="O20:AA20"/>
    <mergeCell ref="AB20:BJ20"/>
    <mergeCell ref="C21:N21"/>
    <mergeCell ref="O21:AA21"/>
    <mergeCell ref="AB21:BJ21"/>
    <mergeCell ref="C31:BJ31"/>
    <mergeCell ref="C32:BJ32"/>
    <mergeCell ref="AH26:BJ26"/>
    <mergeCell ref="AH27:BJ27"/>
    <mergeCell ref="AH28:BJ28"/>
    <mergeCell ref="BI36:BJ36"/>
    <mergeCell ref="C38:BJ38"/>
    <mergeCell ref="C39:BJ39"/>
    <mergeCell ref="C40:BJ40"/>
    <mergeCell ref="C41:BF41"/>
    <mergeCell ref="BG41:BH41"/>
    <mergeCell ref="BI41:BJ41"/>
    <mergeCell ref="C45:Q45"/>
    <mergeCell ref="R45:AF45"/>
    <mergeCell ref="AG45:AU45"/>
    <mergeCell ref="AV45:BJ45"/>
    <mergeCell ref="C46:Q46"/>
    <mergeCell ref="R46:AF46"/>
    <mergeCell ref="AG46:AU46"/>
    <mergeCell ref="AV46:BJ46"/>
    <mergeCell ref="C47:Q47"/>
    <mergeCell ref="R47:AF47"/>
    <mergeCell ref="AG47:AU47"/>
    <mergeCell ref="AV47:BJ47"/>
    <mergeCell ref="C48:Q48"/>
    <mergeCell ref="R48:AF48"/>
    <mergeCell ref="AG48:AU48"/>
    <mergeCell ref="AV48:BJ48"/>
    <mergeCell ref="N55:BJ56"/>
    <mergeCell ref="C58:BF58"/>
    <mergeCell ref="C59:BF59"/>
    <mergeCell ref="C49:BF49"/>
    <mergeCell ref="BG49:BH49"/>
    <mergeCell ref="BI49:BJ49"/>
    <mergeCell ref="C51:N51"/>
    <mergeCell ref="O51:AA51"/>
    <mergeCell ref="AB51:BJ51"/>
    <mergeCell ref="C33:BJ33"/>
    <mergeCell ref="AE25:AG25"/>
    <mergeCell ref="AE26:AG26"/>
    <mergeCell ref="AE28:AG28"/>
    <mergeCell ref="AE27:AG27"/>
    <mergeCell ref="C25:AD25"/>
    <mergeCell ref="C26:AD26"/>
    <mergeCell ref="C27:AD27"/>
    <mergeCell ref="C28:AD28"/>
    <mergeCell ref="AH25:BJ25"/>
    <mergeCell ref="C29:BF29"/>
    <mergeCell ref="BG29:BH29"/>
    <mergeCell ref="BI29:BJ29"/>
  </mergeCells>
  <dataValidations count="5">
    <dataValidation type="list" allowBlank="1" showInputMessage="1" showErrorMessage="1" sqref="O20" xr:uid="{00000000-0002-0000-0500-000000000000}">
      <formula1>Producto</formula1>
    </dataValidation>
    <dataValidation type="list" allowBlank="1" showInputMessage="1" showErrorMessage="1" sqref="BI36:BJ36 AE26:AG28" xr:uid="{00000000-0002-0000-0500-000001000000}">
      <formula1>SiNo</formula1>
    </dataValidation>
    <dataValidation type="list" allowBlank="1" showInputMessage="1" showErrorMessage="1" sqref="N19:N21 N51" xr:uid="{00000000-0002-0000-0500-000002000000}">
      <formula1>TipoProyecto</formula1>
    </dataValidation>
    <dataValidation type="date" allowBlank="1" showInputMessage="1" showErrorMessage="1" prompt="Formato entrada: _x000a_dd/mmm/yyyy_x000a__x000a_Ejemplo:_x000a_18/abr/2017" sqref="O51 M9:Q11" xr:uid="{00000000-0002-0000-0500-000003000000}">
      <formula1>1</formula1>
      <formula2>401769</formula2>
    </dataValidation>
    <dataValidation type="list" allowBlank="1" showInputMessage="1" showErrorMessage="1" sqref="H9:L11" xr:uid="{00000000-0002-0000-0500-000004000000}">
      <formula1>Accion</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rtaCancelacion"/>
  <dimension ref="A1:XFC54"/>
  <sheetViews>
    <sheetView showGridLines="0" zoomScaleNormal="100" workbookViewId="0">
      <selection activeCell="C11" sqref="C11:G11"/>
    </sheetView>
  </sheetViews>
  <sheetFormatPr baseColWidth="10" defaultColWidth="0" defaultRowHeight="15" x14ac:dyDescent="0.2"/>
  <cols>
    <col min="1" max="63" width="2.6640625" customWidth="1"/>
    <col min="64" max="64" width="2.5" customWidth="1"/>
    <col min="65" max="16383" width="2.83203125" hidden="1"/>
    <col min="16384" max="16384" width="5.33203125" hidden="1"/>
  </cols>
  <sheetData>
    <row r="1" spans="1:66" x14ac:dyDescent="0.2">
      <c r="BM1" s="31"/>
      <c r="BN1" s="44">
        <f>ROW(PlanPruebas!BZ70)</f>
        <v>70</v>
      </c>
    </row>
    <row r="2" spans="1:66"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29"/>
      <c r="BN2" s="44">
        <f>ROW(PlanPruebas!BM62)</f>
        <v>62</v>
      </c>
    </row>
    <row r="3" spans="1:66" ht="15" customHeight="1" x14ac:dyDescent="0.2">
      <c r="C3" s="152"/>
      <c r="D3" s="152"/>
      <c r="E3" s="152"/>
      <c r="F3" s="152"/>
      <c r="G3" s="152"/>
      <c r="H3" s="152"/>
      <c r="I3" s="152"/>
      <c r="J3" s="152"/>
      <c r="K3" s="152"/>
      <c r="L3" s="152"/>
      <c r="M3" s="152"/>
      <c r="N3" s="152"/>
      <c r="O3" s="152"/>
      <c r="P3" s="166" t="s">
        <v>138</v>
      </c>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8"/>
      <c r="BM3" s="29"/>
    </row>
    <row r="4" spans="1:66" ht="15" customHeight="1" x14ac:dyDescent="0.2">
      <c r="C4" s="152"/>
      <c r="D4" s="152"/>
      <c r="E4" s="152"/>
      <c r="F4" s="152"/>
      <c r="G4" s="152"/>
      <c r="H4" s="152"/>
      <c r="I4" s="152"/>
      <c r="J4" s="152"/>
      <c r="K4" s="152"/>
      <c r="L4" s="152"/>
      <c r="M4" s="152"/>
      <c r="N4" s="152"/>
      <c r="O4" s="152"/>
      <c r="P4" s="169"/>
      <c r="Q4" s="170"/>
      <c r="R4" s="170"/>
      <c r="S4" s="170"/>
      <c r="T4" s="170"/>
      <c r="U4" s="170"/>
      <c r="V4" s="170"/>
      <c r="W4" s="170"/>
      <c r="X4" s="170"/>
      <c r="Y4" s="170"/>
      <c r="Z4" s="170"/>
      <c r="AA4" s="170"/>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0"/>
      <c r="AZ4" s="170"/>
      <c r="BA4" s="170"/>
      <c r="BB4" s="170"/>
      <c r="BC4" s="170"/>
      <c r="BD4" s="170"/>
      <c r="BE4" s="170"/>
      <c r="BF4" s="170"/>
      <c r="BG4" s="170"/>
      <c r="BH4" s="170"/>
      <c r="BI4" s="170"/>
      <c r="BJ4" s="171"/>
      <c r="BM4" s="29"/>
    </row>
    <row r="5" spans="1:66" ht="15" customHeight="1" x14ac:dyDescent="0.2">
      <c r="C5" s="152"/>
      <c r="D5" s="152"/>
      <c r="E5" s="152"/>
      <c r="F5" s="152"/>
      <c r="G5" s="152"/>
      <c r="H5" s="152"/>
      <c r="I5" s="152"/>
      <c r="J5" s="152"/>
      <c r="K5" s="152"/>
      <c r="L5" s="152"/>
      <c r="M5" s="152"/>
      <c r="N5" s="152"/>
      <c r="O5" s="152"/>
      <c r="P5" s="169"/>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1"/>
      <c r="BM5" s="29"/>
    </row>
    <row r="6" spans="1:66" ht="15" customHeight="1" x14ac:dyDescent="0.2">
      <c r="C6" s="152"/>
      <c r="D6" s="152"/>
      <c r="E6" s="152"/>
      <c r="F6" s="152"/>
      <c r="G6" s="152"/>
      <c r="H6" s="152"/>
      <c r="I6" s="152"/>
      <c r="J6" s="152"/>
      <c r="K6" s="152"/>
      <c r="L6" s="152"/>
      <c r="M6" s="152"/>
      <c r="N6" s="152"/>
      <c r="O6" s="152"/>
      <c r="P6" s="172"/>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c r="AP6" s="173"/>
      <c r="AQ6" s="173"/>
      <c r="AR6" s="173"/>
      <c r="AS6" s="173"/>
      <c r="AT6" s="173"/>
      <c r="AU6" s="173"/>
      <c r="AV6" s="173"/>
      <c r="AW6" s="173"/>
      <c r="AX6" s="173"/>
      <c r="AY6" s="173"/>
      <c r="AZ6" s="173"/>
      <c r="BA6" s="173"/>
      <c r="BB6" s="173"/>
      <c r="BC6" s="173"/>
      <c r="BD6" s="173"/>
      <c r="BE6" s="173"/>
      <c r="BF6" s="173"/>
      <c r="BG6" s="173"/>
      <c r="BH6" s="173"/>
      <c r="BI6" s="173"/>
      <c r="BJ6" s="174"/>
      <c r="BM6" s="29"/>
    </row>
    <row r="7" spans="1:66" ht="25" customHeight="1" x14ac:dyDescent="0.2">
      <c r="BM7" s="29"/>
    </row>
    <row r="8" spans="1:66" ht="25" customHeight="1" x14ac:dyDescent="0.2">
      <c r="C8" s="163" t="s">
        <v>1</v>
      </c>
      <c r="D8" s="164"/>
      <c r="E8" s="164"/>
      <c r="F8" s="164"/>
      <c r="G8" s="165"/>
      <c r="H8" s="138" t="s">
        <v>47</v>
      </c>
      <c r="I8" s="138"/>
      <c r="J8" s="138"/>
      <c r="K8" s="138"/>
      <c r="L8" s="138"/>
      <c r="M8" s="138" t="s">
        <v>48</v>
      </c>
      <c r="N8" s="138"/>
      <c r="O8" s="138"/>
      <c r="P8" s="138"/>
      <c r="Q8" s="138"/>
      <c r="R8" s="138" t="s">
        <v>49</v>
      </c>
      <c r="S8" s="138"/>
      <c r="T8" s="138"/>
      <c r="U8" s="138"/>
      <c r="V8" s="138"/>
      <c r="W8" s="138"/>
      <c r="X8" s="138"/>
      <c r="Y8" s="138"/>
      <c r="Z8" s="138"/>
      <c r="AA8" s="138"/>
      <c r="AB8" s="138"/>
      <c r="AC8" s="138"/>
      <c r="AD8" s="138"/>
      <c r="AE8" s="138"/>
      <c r="AF8" s="138"/>
      <c r="AG8" s="138" t="s">
        <v>50</v>
      </c>
      <c r="AH8" s="138"/>
      <c r="AI8" s="138"/>
      <c r="AJ8" s="138"/>
      <c r="AK8" s="138"/>
      <c r="AL8" s="138"/>
      <c r="AM8" s="138"/>
      <c r="AN8" s="138"/>
      <c r="AO8" s="138"/>
      <c r="AP8" s="138"/>
      <c r="AQ8" s="138"/>
      <c r="AR8" s="138"/>
      <c r="AS8" s="138"/>
      <c r="AT8" s="138"/>
      <c r="AU8" s="138"/>
      <c r="AV8" s="138" t="s">
        <v>51</v>
      </c>
      <c r="AW8" s="138"/>
      <c r="AX8" s="138"/>
      <c r="AY8" s="138"/>
      <c r="AZ8" s="138"/>
      <c r="BA8" s="138"/>
      <c r="BB8" s="138"/>
      <c r="BC8" s="138"/>
      <c r="BD8" s="138"/>
      <c r="BE8" s="138"/>
      <c r="BF8" s="138"/>
      <c r="BG8" s="138"/>
      <c r="BH8" s="138"/>
      <c r="BI8" s="138"/>
      <c r="BJ8" s="138"/>
      <c r="BM8" s="29"/>
    </row>
    <row r="9" spans="1:66" ht="25" customHeight="1" x14ac:dyDescent="0.2">
      <c r="B9" s="18">
        <f>COUNTA(C9:BJ9)</f>
        <v>0</v>
      </c>
      <c r="C9" s="107"/>
      <c r="D9" s="107"/>
      <c r="E9" s="107"/>
      <c r="F9" s="107"/>
      <c r="G9" s="107"/>
      <c r="H9" s="107"/>
      <c r="I9" s="107"/>
      <c r="J9" s="107"/>
      <c r="K9" s="107"/>
      <c r="L9" s="107"/>
      <c r="M9" s="139"/>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M9" s="29"/>
    </row>
    <row r="10" spans="1:66" ht="25" customHeight="1" x14ac:dyDescent="0.2">
      <c r="B10" s="18">
        <f>COUNTA(C10:BJ10)</f>
        <v>0</v>
      </c>
      <c r="C10" s="107"/>
      <c r="D10" s="107"/>
      <c r="E10" s="107"/>
      <c r="F10" s="107"/>
      <c r="G10" s="107"/>
      <c r="H10" s="107"/>
      <c r="I10" s="107"/>
      <c r="J10" s="107"/>
      <c r="K10" s="107"/>
      <c r="L10" s="107"/>
      <c r="M10" s="139"/>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M10" s="29"/>
    </row>
    <row r="11" spans="1:66" ht="25" customHeight="1" x14ac:dyDescent="0.2">
      <c r="B11" s="18">
        <f>COUNTA(C11:BJ11)</f>
        <v>0</v>
      </c>
      <c r="C11" s="102"/>
      <c r="D11" s="102"/>
      <c r="E11" s="102"/>
      <c r="F11" s="102"/>
      <c r="G11" s="102"/>
      <c r="H11" s="102"/>
      <c r="I11" s="102"/>
      <c r="J11" s="102"/>
      <c r="K11" s="102"/>
      <c r="L11" s="102"/>
      <c r="M11" s="194"/>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9"/>
      <c r="BM11" s="29"/>
    </row>
    <row r="12" spans="1:66" ht="25" customHeight="1" x14ac:dyDescent="0.2">
      <c r="C12" s="131" t="s">
        <v>52</v>
      </c>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74" t="s">
        <v>53</v>
      </c>
      <c r="BH12" s="75"/>
      <c r="BI12" s="74" t="s">
        <v>54</v>
      </c>
      <c r="BJ12" s="75"/>
      <c r="BM12" s="29">
        <v>1</v>
      </c>
    </row>
    <row r="13" spans="1:66" ht="25" customHeight="1" x14ac:dyDescent="0.2">
      <c r="C13" s="9"/>
      <c r="D13" s="9"/>
      <c r="E13" s="9"/>
      <c r="K13" s="9"/>
      <c r="L13" s="9"/>
      <c r="M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M13" s="29"/>
    </row>
    <row r="14" spans="1:66" ht="16" thickBot="1" x14ac:dyDescent="0.25">
      <c r="C14" s="22" t="s">
        <v>99</v>
      </c>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M14" s="29"/>
    </row>
    <row r="15" spans="1:66" ht="15" customHeight="1" x14ac:dyDescent="0.2">
      <c r="BM15" s="29"/>
    </row>
    <row r="16" spans="1:66" ht="25" customHeight="1" x14ac:dyDescent="0.2">
      <c r="C16" s="76" t="s">
        <v>100</v>
      </c>
      <c r="D16" s="77"/>
      <c r="E16" s="77"/>
      <c r="F16" s="77"/>
      <c r="G16" s="77"/>
      <c r="H16" s="77"/>
      <c r="I16" s="77"/>
      <c r="J16" s="77"/>
      <c r="K16" s="77"/>
      <c r="L16" s="77"/>
      <c r="M16" s="77"/>
      <c r="N16" s="78"/>
      <c r="O16" s="175" t="str">
        <f>IF(TRIM(PlanPruebas!O16)="","",TRIM(PlanPruebas!O16))</f>
        <v/>
      </c>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7"/>
      <c r="BM16" s="29"/>
    </row>
    <row r="17" spans="2:67" ht="25" customHeight="1" x14ac:dyDescent="0.2">
      <c r="C17" s="76" t="s">
        <v>101</v>
      </c>
      <c r="D17" s="77"/>
      <c r="E17" s="77"/>
      <c r="F17" s="77"/>
      <c r="G17" s="77"/>
      <c r="H17" s="77"/>
      <c r="I17" s="77"/>
      <c r="J17" s="77"/>
      <c r="K17" s="77"/>
      <c r="L17" s="77"/>
      <c r="M17" s="77"/>
      <c r="N17" s="78"/>
      <c r="O17" s="175" t="str">
        <f>IF(TRIM(PlanPruebas!O17)="","",TRIM(PlanPruebas!O17))</f>
        <v>Proyecto like me E-comerce</v>
      </c>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7"/>
      <c r="BM17" s="29"/>
      <c r="BN17" s="30"/>
      <c r="BO17" s="30"/>
    </row>
    <row r="18" spans="2:67" ht="25" customHeight="1" x14ac:dyDescent="0.2">
      <c r="C18" s="76" t="s">
        <v>102</v>
      </c>
      <c r="D18" s="77"/>
      <c r="E18" s="77"/>
      <c r="F18" s="77"/>
      <c r="G18" s="77"/>
      <c r="H18" s="77"/>
      <c r="I18" s="77"/>
      <c r="J18" s="77"/>
      <c r="K18" s="77"/>
      <c r="L18" s="77"/>
      <c r="M18" s="77"/>
      <c r="N18" s="78"/>
      <c r="O18" s="175" t="str">
        <f>IF(TRIM(PlanPruebas!O18)="","",TRIM(PlanPruebas!O18))</f>
        <v/>
      </c>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7"/>
      <c r="BM18" s="29"/>
    </row>
    <row r="19" spans="2:67" ht="25" customHeight="1" x14ac:dyDescent="0.2">
      <c r="B19" s="19"/>
      <c r="C19" s="178" t="s">
        <v>103</v>
      </c>
      <c r="D19" s="179"/>
      <c r="E19" s="179"/>
      <c r="F19" s="179"/>
      <c r="G19" s="179"/>
      <c r="H19" s="179"/>
      <c r="I19" s="179"/>
      <c r="J19" s="179"/>
      <c r="K19" s="179"/>
      <c r="L19" s="179"/>
      <c r="M19" s="179"/>
      <c r="N19" s="180"/>
      <c r="O19" s="181" t="str">
        <f>IF(TRIM(PlanPruebas!O19)="","",TRIM(PlanPruebas!O19))</f>
        <v>Luis Fernando Pineda Urrego</v>
      </c>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3"/>
      <c r="BK19" s="19"/>
      <c r="BM19" s="29"/>
    </row>
    <row r="20" spans="2:67" ht="25" customHeight="1" x14ac:dyDescent="0.2">
      <c r="C20" s="130" t="s">
        <v>104</v>
      </c>
      <c r="D20" s="130"/>
      <c r="E20" s="130"/>
      <c r="F20" s="130"/>
      <c r="G20" s="130"/>
      <c r="H20" s="130"/>
      <c r="I20" s="130"/>
      <c r="J20" s="130"/>
      <c r="K20" s="130"/>
      <c r="L20" s="130"/>
      <c r="M20" s="130"/>
      <c r="N20" s="130"/>
      <c r="O20" s="188"/>
      <c r="P20" s="188"/>
      <c r="Q20" s="188"/>
      <c r="R20" s="188"/>
      <c r="S20" s="188"/>
      <c r="T20" s="188"/>
      <c r="U20" s="188"/>
      <c r="V20" s="188"/>
      <c r="W20" s="188"/>
      <c r="X20" s="188"/>
      <c r="Y20" s="188"/>
      <c r="Z20" s="188"/>
      <c r="AA20" s="188"/>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M20" s="29"/>
    </row>
    <row r="21" spans="2:67" ht="25" customHeight="1" x14ac:dyDescent="0.2">
      <c r="C21" s="130" t="s">
        <v>1</v>
      </c>
      <c r="D21" s="130"/>
      <c r="E21" s="130"/>
      <c r="F21" s="130"/>
      <c r="G21" s="130"/>
      <c r="H21" s="130"/>
      <c r="I21" s="130"/>
      <c r="J21" s="130"/>
      <c r="K21" s="130"/>
      <c r="L21" s="130"/>
      <c r="M21" s="130"/>
      <c r="N21" s="130"/>
      <c r="O21" s="188"/>
      <c r="P21" s="188"/>
      <c r="Q21" s="188"/>
      <c r="R21" s="188"/>
      <c r="S21" s="188"/>
      <c r="T21" s="188"/>
      <c r="U21" s="188"/>
      <c r="V21" s="188"/>
      <c r="W21" s="188"/>
      <c r="X21" s="188"/>
      <c r="Y21" s="188"/>
      <c r="Z21" s="188"/>
      <c r="AA21" s="188"/>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c r="AX21" s="187"/>
      <c r="AY21" s="187"/>
      <c r="AZ21" s="187"/>
      <c r="BA21" s="187"/>
      <c r="BB21" s="187"/>
      <c r="BC21" s="187"/>
      <c r="BD21" s="187"/>
      <c r="BE21" s="187"/>
      <c r="BF21" s="187"/>
      <c r="BG21" s="187"/>
      <c r="BH21" s="187"/>
      <c r="BI21" s="187"/>
      <c r="BJ21" s="187"/>
      <c r="BM21" s="29"/>
    </row>
    <row r="22" spans="2:67" ht="25" customHeight="1" x14ac:dyDescent="0.2">
      <c r="C22" s="9"/>
      <c r="D22" s="9"/>
      <c r="E22" s="9"/>
      <c r="K22" s="9"/>
      <c r="L22" s="9"/>
      <c r="M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M22" s="29"/>
    </row>
    <row r="23" spans="2:67" ht="16" thickBot="1" x14ac:dyDescent="0.25">
      <c r="C23" s="22" t="s">
        <v>148</v>
      </c>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M23" s="29"/>
    </row>
    <row r="24" spans="2:67" ht="15" customHeight="1" x14ac:dyDescent="0.2">
      <c r="BM24" s="29"/>
    </row>
    <row r="25" spans="2:67" ht="25" customHeight="1" x14ac:dyDescent="0.2">
      <c r="C25" s="130" t="s">
        <v>149</v>
      </c>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c r="BA25" s="106"/>
      <c r="BB25" s="106"/>
      <c r="BC25" s="106"/>
      <c r="BD25" s="106"/>
      <c r="BE25" s="106"/>
      <c r="BF25" s="106"/>
      <c r="BG25" s="106"/>
      <c r="BH25" s="106"/>
      <c r="BI25" s="106"/>
      <c r="BJ25" s="106"/>
      <c r="BM25" s="29"/>
    </row>
    <row r="26" spans="2:67" ht="25" customHeight="1" x14ac:dyDescent="0.2">
      <c r="C26" s="130" t="s">
        <v>150</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06"/>
      <c r="AC26" s="106"/>
      <c r="AD26" s="106"/>
      <c r="AE26" s="224"/>
      <c r="AF26" s="224"/>
      <c r="AG26" s="224"/>
      <c r="AH26" s="224"/>
      <c r="AI26" s="224"/>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24"/>
      <c r="BH26" s="224"/>
      <c r="BI26" s="224"/>
      <c r="BJ26" s="224"/>
      <c r="BM26" s="29"/>
      <c r="BN26" s="30"/>
      <c r="BO26" s="30"/>
    </row>
    <row r="27" spans="2:67" ht="25" customHeight="1" x14ac:dyDescent="0.2">
      <c r="C27" s="130" t="s">
        <v>151</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06"/>
      <c r="AC27" s="106"/>
      <c r="AD27" s="106"/>
      <c r="AE27" s="106"/>
      <c r="AF27" s="106"/>
      <c r="AG27" s="106"/>
      <c r="AH27" s="106"/>
      <c r="AI27" s="106"/>
      <c r="AJ27" s="106"/>
      <c r="AK27" s="106"/>
      <c r="AL27" s="106"/>
      <c r="AM27" s="106"/>
      <c r="AN27" s="106"/>
      <c r="AO27" s="106"/>
      <c r="AP27" s="106"/>
      <c r="AQ27" s="106"/>
      <c r="AR27" s="106"/>
      <c r="AS27" s="106"/>
      <c r="AT27" s="106"/>
      <c r="AU27" s="106"/>
      <c r="AV27" s="106"/>
      <c r="AW27" s="106"/>
      <c r="AX27" s="106"/>
      <c r="AY27" s="106"/>
      <c r="AZ27" s="106"/>
      <c r="BA27" s="106"/>
      <c r="BB27" s="106"/>
      <c r="BC27" s="106"/>
      <c r="BD27" s="106"/>
      <c r="BE27" s="106"/>
      <c r="BF27" s="106"/>
      <c r="BG27" s="106"/>
      <c r="BH27" s="106"/>
      <c r="BI27" s="106"/>
      <c r="BJ27" s="106"/>
      <c r="BM27" s="29"/>
    </row>
    <row r="28" spans="2:67" ht="25" customHeight="1" x14ac:dyDescent="0.2">
      <c r="C28" s="3"/>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BM28" s="29"/>
    </row>
    <row r="29" spans="2:67" ht="16" thickBot="1" x14ac:dyDescent="0.25">
      <c r="C29" s="22" t="s">
        <v>118</v>
      </c>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M29" s="29">
        <f>IF($BI$30="No",1,"")</f>
        <v>1</v>
      </c>
    </row>
    <row r="30" spans="2:67" x14ac:dyDescent="0.2">
      <c r="C30" s="26"/>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8" t="s">
        <v>61</v>
      </c>
      <c r="BI30" s="114" t="s">
        <v>82</v>
      </c>
      <c r="BJ30" s="114"/>
      <c r="BM30" s="29">
        <v>1</v>
      </c>
    </row>
    <row r="31" spans="2:67" ht="15" customHeight="1" x14ac:dyDescent="0.2">
      <c r="C31" s="3"/>
      <c r="D31" s="21"/>
      <c r="E31" s="21"/>
      <c r="F31" s="3"/>
      <c r="G31" s="21"/>
      <c r="H31" s="21"/>
      <c r="I31" s="3"/>
      <c r="J31" s="21"/>
      <c r="K31" s="21"/>
      <c r="L31" s="3"/>
      <c r="M31" s="21"/>
      <c r="N31" s="21"/>
      <c r="O31" s="3"/>
      <c r="P31" s="21"/>
      <c r="Q31" s="21"/>
      <c r="R31" s="3"/>
      <c r="S31" s="21"/>
      <c r="T31" s="21"/>
      <c r="U31" s="3"/>
      <c r="V31" s="21"/>
      <c r="W31" s="21"/>
      <c r="X31" s="3"/>
      <c r="Y31" s="21"/>
      <c r="Z31" s="21"/>
      <c r="AA31" s="3"/>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M31" s="29">
        <f>IF($BI$30="No",1,"")</f>
        <v>1</v>
      </c>
    </row>
    <row r="32" spans="2:67" ht="25" customHeight="1" x14ac:dyDescent="0.2">
      <c r="B32" s="18">
        <f>COUNTA(C32:BJ32)</f>
        <v>0</v>
      </c>
      <c r="C32" s="82"/>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4"/>
      <c r="BM32" s="29">
        <f>IF($BI$30="No",1,"")</f>
        <v>1</v>
      </c>
    </row>
    <row r="33" spans="2:65" ht="25" customHeight="1" x14ac:dyDescent="0.2">
      <c r="B33" s="18">
        <f>COUNTA(C33:BJ33)</f>
        <v>0</v>
      </c>
      <c r="C33" s="57"/>
      <c r="D33" s="64"/>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59"/>
      <c r="BM33" s="29">
        <f>IF($BI$30="No",1,"")</f>
        <v>1</v>
      </c>
    </row>
    <row r="34" spans="2:65" ht="25" customHeight="1" x14ac:dyDescent="0.2">
      <c r="B34" s="18">
        <f>COUNTA(C34:BJ34)</f>
        <v>0</v>
      </c>
      <c r="C34" s="65"/>
      <c r="D34" s="55"/>
      <c r="E34" s="55"/>
      <c r="F34" s="55"/>
      <c r="G34" s="55"/>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66"/>
      <c r="BK34" s="19"/>
      <c r="BM34" s="29">
        <f>IF($BI$30="No",1,"")</f>
        <v>1</v>
      </c>
    </row>
    <row r="35" spans="2:65" ht="25" customHeight="1" x14ac:dyDescent="0.2">
      <c r="C35" s="71" t="s">
        <v>52</v>
      </c>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72"/>
      <c r="BA35" s="72"/>
      <c r="BB35" s="72"/>
      <c r="BC35" s="72"/>
      <c r="BD35" s="72"/>
      <c r="BE35" s="72"/>
      <c r="BF35" s="73"/>
      <c r="BG35" s="74" t="s">
        <v>53</v>
      </c>
      <c r="BH35" s="75"/>
      <c r="BI35" s="74" t="s">
        <v>54</v>
      </c>
      <c r="BJ35" s="75"/>
      <c r="BM35" s="29">
        <v>1</v>
      </c>
    </row>
    <row r="36" spans="2:65" ht="15" customHeight="1" x14ac:dyDescent="0.2">
      <c r="C36" s="3"/>
      <c r="D36" s="21"/>
      <c r="E36" s="21"/>
      <c r="F36" s="21"/>
      <c r="G36" s="3"/>
      <c r="H36" s="21"/>
      <c r="I36" s="21"/>
      <c r="J36" s="21"/>
      <c r="K36" s="3"/>
      <c r="L36" s="21"/>
      <c r="M36" s="21"/>
      <c r="N36" s="21"/>
      <c r="O36" s="3"/>
      <c r="P36" s="21"/>
      <c r="Q36" s="21"/>
      <c r="R36" s="21"/>
      <c r="S36" s="3"/>
      <c r="T36" s="21"/>
      <c r="U36" s="21"/>
      <c r="V36" s="21"/>
      <c r="W36" s="3"/>
      <c r="X36" s="21"/>
      <c r="Y36" s="21"/>
      <c r="Z36" s="21"/>
      <c r="AA36" s="3"/>
      <c r="AB36" s="21"/>
      <c r="AC36" s="21"/>
      <c r="AD36" s="21"/>
      <c r="AE36" s="3"/>
      <c r="AF36" s="21"/>
      <c r="AG36" s="21"/>
      <c r="AH36" s="21"/>
      <c r="AI36" s="21"/>
      <c r="AJ36" s="21"/>
      <c r="AK36" s="21"/>
      <c r="AL36" s="21"/>
      <c r="AM36" s="21"/>
      <c r="AN36" s="21"/>
      <c r="BM36" s="29">
        <f>IF($BI$30="No",1,"")</f>
        <v>1</v>
      </c>
    </row>
    <row r="37" spans="2:65" ht="15" customHeight="1" x14ac:dyDescent="0.2">
      <c r="C37" s="36" t="s">
        <v>119</v>
      </c>
      <c r="D37" s="21"/>
      <c r="E37" s="21"/>
      <c r="F37" s="21"/>
      <c r="G37" s="3"/>
      <c r="H37" s="21"/>
      <c r="I37" s="21"/>
      <c r="J37" s="21"/>
      <c r="K37" s="3"/>
      <c r="L37" s="21"/>
      <c r="M37" s="21"/>
      <c r="N37" s="21"/>
      <c r="O37" s="3"/>
      <c r="P37" s="21"/>
      <c r="Q37" s="21"/>
      <c r="R37" s="21"/>
      <c r="S37" s="3"/>
      <c r="T37" s="21"/>
      <c r="U37" s="21"/>
      <c r="V37" s="21"/>
      <c r="W37" s="3"/>
      <c r="X37" s="21"/>
      <c r="Y37" s="21"/>
      <c r="Z37" s="21"/>
      <c r="AA37" s="3"/>
      <c r="AB37" s="21"/>
      <c r="AC37" s="21"/>
      <c r="AD37" s="21"/>
      <c r="AE37" s="3"/>
      <c r="AF37" s="21"/>
      <c r="AG37" s="21"/>
      <c r="AH37" s="21"/>
      <c r="AI37" s="21"/>
      <c r="AJ37" s="21"/>
      <c r="AK37" s="21"/>
      <c r="AL37" s="21"/>
      <c r="AM37" s="21"/>
      <c r="AN37" s="21"/>
      <c r="BM37" s="29"/>
    </row>
    <row r="38" spans="2:65" ht="15" customHeight="1" x14ac:dyDescent="0.2">
      <c r="C38" s="21"/>
      <c r="D38" s="21"/>
      <c r="E38" s="21"/>
      <c r="F38" s="21"/>
      <c r="G38" s="21"/>
      <c r="H38" s="21"/>
      <c r="I38" s="21"/>
      <c r="J38" s="21"/>
      <c r="K38" s="21"/>
      <c r="L38" s="21"/>
      <c r="M38" s="21"/>
      <c r="N38" s="21"/>
      <c r="O38" s="21"/>
      <c r="P38" s="21"/>
      <c r="Q38" s="21"/>
      <c r="R38" s="21"/>
      <c r="S38" s="3"/>
      <c r="T38" s="21"/>
      <c r="U38" s="21"/>
      <c r="V38" s="21"/>
      <c r="W38" s="3"/>
      <c r="X38" s="21"/>
      <c r="Y38" s="21"/>
      <c r="Z38" s="21"/>
      <c r="AA38" s="3"/>
      <c r="AB38" s="21"/>
      <c r="AC38" s="21"/>
      <c r="AD38" s="21"/>
      <c r="AE38" s="3"/>
      <c r="AF38" s="21"/>
      <c r="AG38" s="21"/>
      <c r="AH38" s="21"/>
      <c r="AI38" s="21"/>
      <c r="AJ38" s="21"/>
      <c r="AK38" s="21"/>
      <c r="AL38" s="21"/>
      <c r="AM38" s="21"/>
      <c r="AN38" s="21"/>
      <c r="BM38" s="29"/>
    </row>
    <row r="39" spans="2:65" ht="25" customHeight="1" x14ac:dyDescent="0.2">
      <c r="C39" s="163" t="s">
        <v>77</v>
      </c>
      <c r="D39" s="164"/>
      <c r="E39" s="164"/>
      <c r="F39" s="164"/>
      <c r="G39" s="164"/>
      <c r="H39" s="164"/>
      <c r="I39" s="164"/>
      <c r="J39" s="164"/>
      <c r="K39" s="164"/>
      <c r="L39" s="164"/>
      <c r="M39" s="164"/>
      <c r="N39" s="164"/>
      <c r="O39" s="164"/>
      <c r="P39" s="164"/>
      <c r="Q39" s="165"/>
      <c r="R39" s="138" t="s">
        <v>120</v>
      </c>
      <c r="S39" s="138"/>
      <c r="T39" s="138"/>
      <c r="U39" s="138"/>
      <c r="V39" s="138"/>
      <c r="W39" s="138"/>
      <c r="X39" s="138"/>
      <c r="Y39" s="138"/>
      <c r="Z39" s="138"/>
      <c r="AA39" s="138"/>
      <c r="AB39" s="138"/>
      <c r="AC39" s="138"/>
      <c r="AD39" s="138"/>
      <c r="AE39" s="138"/>
      <c r="AF39" s="138"/>
      <c r="AG39" s="138" t="s">
        <v>121</v>
      </c>
      <c r="AH39" s="138"/>
      <c r="AI39" s="138"/>
      <c r="AJ39" s="138"/>
      <c r="AK39" s="138"/>
      <c r="AL39" s="138"/>
      <c r="AM39" s="138"/>
      <c r="AN39" s="138"/>
      <c r="AO39" s="138"/>
      <c r="AP39" s="138"/>
      <c r="AQ39" s="138"/>
      <c r="AR39" s="138"/>
      <c r="AS39" s="138"/>
      <c r="AT39" s="138"/>
      <c r="AU39" s="138"/>
      <c r="AV39" s="138" t="s">
        <v>122</v>
      </c>
      <c r="AW39" s="138"/>
      <c r="AX39" s="138"/>
      <c r="AY39" s="138"/>
      <c r="AZ39" s="138"/>
      <c r="BA39" s="138"/>
      <c r="BB39" s="138"/>
      <c r="BC39" s="138"/>
      <c r="BD39" s="138"/>
      <c r="BE39" s="138"/>
      <c r="BF39" s="138"/>
      <c r="BG39" s="138"/>
      <c r="BH39" s="138"/>
      <c r="BI39" s="138"/>
      <c r="BJ39" s="138"/>
      <c r="BM39" s="29"/>
    </row>
    <row r="40" spans="2:65" ht="25" customHeight="1" x14ac:dyDescent="0.2">
      <c r="B40" s="18">
        <f>COUNTA(C40:BJ40)</f>
        <v>0</v>
      </c>
      <c r="C40" s="191"/>
      <c r="D40" s="192"/>
      <c r="E40" s="192"/>
      <c r="F40" s="192"/>
      <c r="G40" s="192"/>
      <c r="H40" s="192"/>
      <c r="I40" s="192"/>
      <c r="J40" s="192"/>
      <c r="K40" s="192"/>
      <c r="L40" s="192"/>
      <c r="M40" s="192"/>
      <c r="N40" s="192"/>
      <c r="O40" s="192"/>
      <c r="P40" s="192"/>
      <c r="Q40" s="193"/>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107"/>
      <c r="BH40" s="107"/>
      <c r="BI40" s="107"/>
      <c r="BJ40" s="107"/>
      <c r="BM40" s="29"/>
    </row>
    <row r="41" spans="2:65" ht="25" customHeight="1" x14ac:dyDescent="0.2">
      <c r="B41" s="18">
        <f>COUNTA(C41:BJ41)</f>
        <v>0</v>
      </c>
      <c r="C41" s="191"/>
      <c r="D41" s="192"/>
      <c r="E41" s="192"/>
      <c r="F41" s="192"/>
      <c r="G41" s="192"/>
      <c r="H41" s="192"/>
      <c r="I41" s="192"/>
      <c r="J41" s="192"/>
      <c r="K41" s="192"/>
      <c r="L41" s="192"/>
      <c r="M41" s="192"/>
      <c r="N41" s="192"/>
      <c r="O41" s="192"/>
      <c r="P41" s="192"/>
      <c r="Q41" s="193"/>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M41" s="29"/>
    </row>
    <row r="42" spans="2:65" ht="25" customHeight="1" x14ac:dyDescent="0.2">
      <c r="B42" s="18">
        <f>COUNTA(C42:BJ42)</f>
        <v>0</v>
      </c>
      <c r="C42" s="201"/>
      <c r="D42" s="202"/>
      <c r="E42" s="202"/>
      <c r="F42" s="202"/>
      <c r="G42" s="202"/>
      <c r="H42" s="202"/>
      <c r="I42" s="202"/>
      <c r="J42" s="202"/>
      <c r="K42" s="202"/>
      <c r="L42" s="202"/>
      <c r="M42" s="202"/>
      <c r="N42" s="202"/>
      <c r="O42" s="202"/>
      <c r="P42" s="202"/>
      <c r="Q42" s="203"/>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9"/>
      <c r="BM42" s="29"/>
    </row>
    <row r="43" spans="2:65" ht="25" customHeight="1" x14ac:dyDescent="0.2">
      <c r="C43" s="131" t="s">
        <v>52</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c r="AY43" s="131"/>
      <c r="AZ43" s="131"/>
      <c r="BA43" s="131"/>
      <c r="BB43" s="131"/>
      <c r="BC43" s="131"/>
      <c r="BD43" s="131"/>
      <c r="BE43" s="131"/>
      <c r="BF43" s="131"/>
      <c r="BG43" s="74" t="s">
        <v>53</v>
      </c>
      <c r="BH43" s="75"/>
      <c r="BI43" s="74" t="s">
        <v>54</v>
      </c>
      <c r="BJ43" s="75"/>
      <c r="BM43" s="29">
        <v>1</v>
      </c>
    </row>
    <row r="44" spans="2:65" ht="25" customHeight="1" x14ac:dyDescent="0.2">
      <c r="C44" s="9"/>
      <c r="D44" s="9"/>
      <c r="E44" s="9"/>
      <c r="K44" s="9"/>
      <c r="L44" s="9"/>
      <c r="M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M44" s="29"/>
    </row>
    <row r="45" spans="2:65" ht="25" customHeight="1" x14ac:dyDescent="0.2">
      <c r="C45" s="130" t="s">
        <v>137</v>
      </c>
      <c r="D45" s="130"/>
      <c r="E45" s="130"/>
      <c r="F45" s="130"/>
      <c r="G45" s="130"/>
      <c r="H45" s="130"/>
      <c r="I45" s="130"/>
      <c r="J45" s="130"/>
      <c r="K45" s="130"/>
      <c r="L45" s="130"/>
      <c r="M45" s="130"/>
      <c r="N45" s="130"/>
      <c r="O45" s="208"/>
      <c r="P45" s="208"/>
      <c r="Q45" s="208"/>
      <c r="R45" s="208"/>
      <c r="S45" s="208"/>
      <c r="T45" s="208"/>
      <c r="U45" s="208"/>
      <c r="V45" s="208"/>
      <c r="W45" s="208"/>
      <c r="X45" s="208"/>
      <c r="Y45" s="208"/>
      <c r="Z45" s="208"/>
      <c r="AA45" s="208"/>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c r="AX45" s="187"/>
      <c r="AY45" s="187"/>
      <c r="AZ45" s="187"/>
      <c r="BA45" s="187"/>
      <c r="BB45" s="187"/>
      <c r="BC45" s="187"/>
      <c r="BD45" s="187"/>
      <c r="BE45" s="187"/>
      <c r="BF45" s="187"/>
      <c r="BG45" s="187"/>
      <c r="BH45" s="187"/>
      <c r="BI45" s="187"/>
      <c r="BJ45" s="187"/>
      <c r="BM45" s="29"/>
    </row>
    <row r="46" spans="2:65" ht="25" customHeight="1" x14ac:dyDescent="0.2">
      <c r="C46" s="9"/>
      <c r="D46" s="9"/>
      <c r="E46" s="9"/>
      <c r="K46" s="9"/>
      <c r="L46" s="9"/>
      <c r="M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M46" s="29"/>
    </row>
    <row r="47" spans="2:65" ht="16" thickBot="1" x14ac:dyDescent="0.25">
      <c r="C47" s="22" t="s">
        <v>95</v>
      </c>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M47" s="29">
        <v>1</v>
      </c>
    </row>
    <row r="48" spans="2:65" x14ac:dyDescent="0.2">
      <c r="BM48" s="29">
        <v>1</v>
      </c>
    </row>
    <row r="49" spans="3:65" x14ac:dyDescent="0.2">
      <c r="K49" s="33"/>
      <c r="L49" s="33"/>
      <c r="M49" s="33"/>
      <c r="N49" s="142" t="s">
        <v>123</v>
      </c>
      <c r="O49" s="142"/>
      <c r="P49" s="142"/>
      <c r="Q49" s="142"/>
      <c r="R49" s="142"/>
      <c r="S49" s="142"/>
      <c r="T49" s="142"/>
      <c r="U49" s="142"/>
      <c r="V49" s="142"/>
      <c r="W49" s="142"/>
      <c r="X49" s="142"/>
      <c r="Y49" s="142"/>
      <c r="Z49" s="142"/>
      <c r="AA49" s="142"/>
      <c r="AB49" s="142"/>
      <c r="AC49" s="142"/>
      <c r="AD49" s="142"/>
      <c r="AE49" s="142"/>
      <c r="AF49" s="142"/>
      <c r="AG49" s="142"/>
      <c r="AH49" s="142"/>
      <c r="AI49" s="142"/>
      <c r="AJ49" s="142"/>
      <c r="AK49" s="142"/>
      <c r="AL49" s="142"/>
      <c r="AM49" s="142"/>
      <c r="AN49" s="142"/>
      <c r="AO49" s="142"/>
      <c r="AP49" s="142"/>
      <c r="AQ49" s="142"/>
      <c r="AR49" s="142"/>
      <c r="AS49" s="142"/>
      <c r="AT49" s="142"/>
      <c r="AU49" s="142"/>
      <c r="AV49" s="142"/>
      <c r="AW49" s="142"/>
      <c r="AX49" s="142"/>
      <c r="AY49" s="142"/>
      <c r="AZ49" s="142"/>
      <c r="BA49" s="142"/>
      <c r="BB49" s="142"/>
      <c r="BC49" s="142"/>
      <c r="BD49" s="142"/>
      <c r="BE49" s="142"/>
      <c r="BF49" s="142"/>
      <c r="BG49" s="142"/>
      <c r="BH49" s="142"/>
      <c r="BI49" s="142"/>
      <c r="BJ49" s="142"/>
      <c r="BM49" s="29">
        <v>1</v>
      </c>
    </row>
    <row r="50" spans="3:65" x14ac:dyDescent="0.2">
      <c r="K50" s="33"/>
      <c r="L50" s="33"/>
      <c r="M50" s="33"/>
      <c r="N50" s="142"/>
      <c r="O50" s="142"/>
      <c r="P50" s="142"/>
      <c r="Q50" s="142"/>
      <c r="R50" s="142"/>
      <c r="S50" s="142"/>
      <c r="T50" s="142"/>
      <c r="U50" s="142"/>
      <c r="V50" s="142"/>
      <c r="W50" s="142"/>
      <c r="X50" s="142"/>
      <c r="Y50" s="142"/>
      <c r="Z50" s="142"/>
      <c r="AA50" s="142"/>
      <c r="AB50" s="142"/>
      <c r="AC50" s="142"/>
      <c r="AD50" s="142"/>
      <c r="AE50" s="142"/>
      <c r="AF50" s="142"/>
      <c r="AG50" s="142"/>
      <c r="AH50" s="142"/>
      <c r="AI50" s="142"/>
      <c r="AJ50" s="142"/>
      <c r="AK50" s="142"/>
      <c r="AL50" s="142"/>
      <c r="AM50" s="142"/>
      <c r="AN50" s="142"/>
      <c r="AO50" s="142"/>
      <c r="AP50" s="142"/>
      <c r="AQ50" s="142"/>
      <c r="AR50" s="142"/>
      <c r="AS50" s="142"/>
      <c r="AT50" s="142"/>
      <c r="AU50" s="142"/>
      <c r="AV50" s="142"/>
      <c r="AW50" s="142"/>
      <c r="AX50" s="142"/>
      <c r="AY50" s="142"/>
      <c r="AZ50" s="142"/>
      <c r="BA50" s="142"/>
      <c r="BB50" s="142"/>
      <c r="BC50" s="142"/>
      <c r="BD50" s="142"/>
      <c r="BE50" s="142"/>
      <c r="BF50" s="142"/>
      <c r="BG50" s="142"/>
      <c r="BH50" s="142"/>
      <c r="BI50" s="142"/>
      <c r="BJ50" s="142"/>
      <c r="BM50" s="29">
        <v>1</v>
      </c>
    </row>
    <row r="51" spans="3:65" x14ac:dyDescent="0.2">
      <c r="BM51" s="29">
        <v>1</v>
      </c>
    </row>
    <row r="52" spans="3:65" ht="30" customHeight="1" x14ac:dyDescent="0.2">
      <c r="C52" s="140" t="s">
        <v>97</v>
      </c>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M52" s="29"/>
    </row>
    <row r="53" spans="3:65" ht="30" customHeight="1" x14ac:dyDescent="0.2">
      <c r="C53" s="186" t="str">
        <f>"versión "&amp;Parametros!A1&amp;"   -   CONFIDENCIAL"</f>
        <v>versión 1.5   -   CONFIDENCIAL</v>
      </c>
      <c r="D53" s="186"/>
      <c r="E53" s="186"/>
      <c r="F53" s="186"/>
      <c r="G53" s="186"/>
      <c r="H53" s="186"/>
      <c r="I53" s="186"/>
      <c r="J53" s="186"/>
      <c r="K53" s="186"/>
      <c r="L53" s="186"/>
      <c r="M53" s="186"/>
      <c r="N53" s="186"/>
      <c r="O53" s="186"/>
      <c r="P53" s="186"/>
      <c r="Q53" s="186"/>
      <c r="R53" s="186"/>
      <c r="S53" s="186"/>
      <c r="T53" s="186"/>
      <c r="U53" s="186"/>
      <c r="V53" s="186"/>
      <c r="W53" s="186"/>
      <c r="X53" s="186"/>
      <c r="Y53" s="186"/>
      <c r="Z53" s="186"/>
      <c r="AA53" s="186"/>
      <c r="AB53" s="186"/>
      <c r="AC53" s="186"/>
      <c r="AD53" s="186"/>
      <c r="AE53" s="186"/>
      <c r="AF53" s="186"/>
      <c r="AG53" s="186"/>
      <c r="AH53" s="186"/>
      <c r="AI53" s="186"/>
      <c r="AJ53" s="186"/>
      <c r="AK53" s="186"/>
      <c r="AL53" s="186"/>
      <c r="AM53" s="186"/>
      <c r="AN53" s="186"/>
      <c r="AO53" s="186"/>
      <c r="AP53" s="186"/>
      <c r="AQ53" s="186"/>
      <c r="AR53" s="186"/>
      <c r="AS53" s="186"/>
      <c r="AT53" s="186"/>
      <c r="AU53" s="186"/>
      <c r="AV53" s="186"/>
      <c r="AW53" s="186"/>
      <c r="AX53" s="186"/>
      <c r="AY53" s="186"/>
      <c r="AZ53" s="186"/>
      <c r="BA53" s="186"/>
      <c r="BB53" s="186"/>
      <c r="BC53" s="186"/>
      <c r="BD53" s="186"/>
      <c r="BE53" s="186"/>
      <c r="BF53" s="186"/>
      <c r="BM53" s="29"/>
    </row>
    <row r="54" spans="3:65" ht="30" customHeight="1" x14ac:dyDescent="0.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M54" s="29"/>
    </row>
  </sheetData>
  <sheetProtection algorithmName="SHA-512" hashValue="BKljh7y4Z0WNXAr7xaw5YRtbGT8UpA5hnQm8p48lcyrM+lJoVGbwJqsVGpFtRvI2ArOi+IZcaVOQJX6D3nPYSg==" saltValue="BTRTsTEnhYfads19AQj0IQ==" spinCount="100000" sheet="1" objects="1" scenarios="1" formatCells="0" formatRows="0" insertHyperlinks="0" autoFilter="0"/>
  <dataConsolidate/>
  <mergeCells count="82">
    <mergeCell ref="C3:O6"/>
    <mergeCell ref="P3:BJ6"/>
    <mergeCell ref="C8:G8"/>
    <mergeCell ref="H8:L8"/>
    <mergeCell ref="M8:Q8"/>
    <mergeCell ref="R8:AF8"/>
    <mergeCell ref="AG8:AU8"/>
    <mergeCell ref="AV8:BJ8"/>
    <mergeCell ref="AV10:BJ10"/>
    <mergeCell ref="C9:G9"/>
    <mergeCell ref="H9:L9"/>
    <mergeCell ref="M9:Q9"/>
    <mergeCell ref="R9:AF9"/>
    <mergeCell ref="AG9:AU9"/>
    <mergeCell ref="AV9:BJ9"/>
    <mergeCell ref="C10:G10"/>
    <mergeCell ref="H10:L10"/>
    <mergeCell ref="M10:Q10"/>
    <mergeCell ref="R10:AF10"/>
    <mergeCell ref="AG10:AU10"/>
    <mergeCell ref="C17:N17"/>
    <mergeCell ref="O17:BJ17"/>
    <mergeCell ref="C11:G11"/>
    <mergeCell ref="H11:L11"/>
    <mergeCell ref="M11:Q11"/>
    <mergeCell ref="R11:AF11"/>
    <mergeCell ref="AG11:AU11"/>
    <mergeCell ref="AV11:BJ11"/>
    <mergeCell ref="C12:BF12"/>
    <mergeCell ref="BG12:BH12"/>
    <mergeCell ref="BI12:BJ12"/>
    <mergeCell ref="C16:N16"/>
    <mergeCell ref="O16:BJ16"/>
    <mergeCell ref="C18:N18"/>
    <mergeCell ref="O18:BJ18"/>
    <mergeCell ref="C19:N19"/>
    <mergeCell ref="O19:BJ19"/>
    <mergeCell ref="C20:N20"/>
    <mergeCell ref="O20:AA20"/>
    <mergeCell ref="AB20:BJ20"/>
    <mergeCell ref="BI30:BJ30"/>
    <mergeCell ref="C32:BJ32"/>
    <mergeCell ref="C33:BJ33"/>
    <mergeCell ref="C27:AA27"/>
    <mergeCell ref="AB27:BJ27"/>
    <mergeCell ref="C34:BJ34"/>
    <mergeCell ref="C35:BF35"/>
    <mergeCell ref="BG35:BH35"/>
    <mergeCell ref="BI35:BJ35"/>
    <mergeCell ref="C39:Q39"/>
    <mergeCell ref="R39:AF39"/>
    <mergeCell ref="AG39:AU39"/>
    <mergeCell ref="AV39:BJ39"/>
    <mergeCell ref="C40:Q40"/>
    <mergeCell ref="R40:AF40"/>
    <mergeCell ref="AG40:AU40"/>
    <mergeCell ref="AV40:BJ40"/>
    <mergeCell ref="C41:Q41"/>
    <mergeCell ref="R41:AF41"/>
    <mergeCell ref="AG41:AU41"/>
    <mergeCell ref="AV41:BJ41"/>
    <mergeCell ref="C53:BF53"/>
    <mergeCell ref="C42:Q42"/>
    <mergeCell ref="R42:AF42"/>
    <mergeCell ref="AG42:AU42"/>
    <mergeCell ref="AV42:BJ42"/>
    <mergeCell ref="C43:BF43"/>
    <mergeCell ref="BG43:BH43"/>
    <mergeCell ref="BI43:BJ43"/>
    <mergeCell ref="C45:N45"/>
    <mergeCell ref="O45:AA45"/>
    <mergeCell ref="AB45:BJ45"/>
    <mergeCell ref="N49:BJ50"/>
    <mergeCell ref="C52:BF52"/>
    <mergeCell ref="C21:N21"/>
    <mergeCell ref="O21:AA21"/>
    <mergeCell ref="AB21:BJ21"/>
    <mergeCell ref="AB25:BJ25"/>
    <mergeCell ref="AB26:AD26"/>
    <mergeCell ref="AE26:BJ26"/>
    <mergeCell ref="C25:AA25"/>
    <mergeCell ref="C26:AA26"/>
  </mergeCells>
  <dataValidations count="5">
    <dataValidation type="list" allowBlank="1" showInputMessage="1" showErrorMessage="1" sqref="H9:L11" xr:uid="{00000000-0002-0000-0600-000000000000}">
      <formula1>Accion</formula1>
    </dataValidation>
    <dataValidation type="date" allowBlank="1" showInputMessage="1" showErrorMessage="1" prompt="Formato entrada: _x000a_dd/mmm/yyyy_x000a__x000a_Ejemplo:_x000a_18/abr/2017" sqref="O45 M9:Q11" xr:uid="{00000000-0002-0000-0600-000001000000}">
      <formula1>1</formula1>
      <formula2>401769</formula2>
    </dataValidation>
    <dataValidation type="list" allowBlank="1" showInputMessage="1" showErrorMessage="1" sqref="N45 N19:N21" xr:uid="{00000000-0002-0000-0600-000002000000}">
      <formula1>TipoProyecto</formula1>
    </dataValidation>
    <dataValidation type="list" allowBlank="1" showInputMessage="1" showErrorMessage="1" sqref="BI30:BJ30 AB26:AD26" xr:uid="{00000000-0002-0000-0600-000003000000}">
      <formula1>SiNo</formula1>
    </dataValidation>
    <dataValidation type="list" allowBlank="1" showInputMessage="1" showErrorMessage="1" sqref="O20" xr:uid="{00000000-0002-0000-0600-000004000000}">
      <formula1>Producto</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Listas"/>
  <dimension ref="A1:N39"/>
  <sheetViews>
    <sheetView showGridLines="0" topLeftCell="I1" zoomScaleNormal="100" workbookViewId="0">
      <selection activeCell="I18" sqref="I18"/>
    </sheetView>
  </sheetViews>
  <sheetFormatPr baseColWidth="10" defaultColWidth="11.5" defaultRowHeight="12" x14ac:dyDescent="0.15"/>
  <cols>
    <col min="1" max="1" width="34.6640625" style="2" customWidth="1"/>
    <col min="2" max="2" width="21.83203125" style="2" customWidth="1"/>
    <col min="3" max="3" width="25.33203125" style="2" customWidth="1"/>
    <col min="4" max="4" width="23.33203125" style="2" customWidth="1"/>
    <col min="5" max="5" width="22.6640625" style="2" customWidth="1"/>
    <col min="6" max="6" width="23" style="2" customWidth="1"/>
    <col min="7" max="7" width="24" style="2" customWidth="1"/>
    <col min="8" max="8" width="48.5" style="2" customWidth="1"/>
    <col min="9" max="9" width="45.5" style="2" bestFit="1" customWidth="1"/>
    <col min="10" max="10" width="18.1640625" style="2" customWidth="1"/>
    <col min="11" max="11" width="47.83203125" style="2" customWidth="1"/>
    <col min="12" max="12" width="18.6640625" style="2" customWidth="1"/>
    <col min="13" max="13" width="18.83203125" style="2" customWidth="1"/>
    <col min="14" max="14" width="26.83203125" style="2" customWidth="1"/>
    <col min="15" max="16384" width="11.5" style="2"/>
  </cols>
  <sheetData>
    <row r="1" spans="1:14" ht="25" customHeight="1" x14ac:dyDescent="0.15">
      <c r="A1" s="13" t="s">
        <v>152</v>
      </c>
      <c r="B1" s="13" t="s">
        <v>153</v>
      </c>
      <c r="C1" s="13" t="s">
        <v>49</v>
      </c>
      <c r="D1" s="12" t="s">
        <v>154</v>
      </c>
      <c r="E1" s="11" t="s">
        <v>155</v>
      </c>
      <c r="F1" s="11" t="s">
        <v>156</v>
      </c>
      <c r="G1" s="12" t="s">
        <v>157</v>
      </c>
      <c r="H1" s="12" t="s">
        <v>158</v>
      </c>
      <c r="I1" s="12" t="s">
        <v>159</v>
      </c>
      <c r="J1" s="12" t="s">
        <v>160</v>
      </c>
      <c r="K1" s="12" t="s">
        <v>161</v>
      </c>
      <c r="L1" s="12" t="s">
        <v>130</v>
      </c>
      <c r="M1" s="12" t="s">
        <v>162</v>
      </c>
      <c r="N1" s="12" t="s">
        <v>163</v>
      </c>
    </row>
    <row r="2" spans="1:14" ht="25" customHeight="1" x14ac:dyDescent="0.15">
      <c r="A2" s="8" t="s">
        <v>164</v>
      </c>
      <c r="B2" s="7" t="s">
        <v>165</v>
      </c>
      <c r="C2" s="8" t="s">
        <v>166</v>
      </c>
      <c r="D2" s="5" t="s">
        <v>167</v>
      </c>
      <c r="E2" s="4" t="s">
        <v>62</v>
      </c>
      <c r="F2" s="4" t="s">
        <v>168</v>
      </c>
      <c r="G2" s="5" t="s">
        <v>169</v>
      </c>
      <c r="H2" s="5" t="s">
        <v>170</v>
      </c>
      <c r="I2" s="4" t="s">
        <v>171</v>
      </c>
      <c r="J2" s="4" t="s">
        <v>172</v>
      </c>
      <c r="K2" s="4" t="s">
        <v>173</v>
      </c>
      <c r="L2" s="4" t="s">
        <v>174</v>
      </c>
      <c r="M2" s="4" t="s">
        <v>175</v>
      </c>
      <c r="N2" s="4" t="s">
        <v>93</v>
      </c>
    </row>
    <row r="3" spans="1:14" ht="25" customHeight="1" x14ac:dyDescent="0.15">
      <c r="A3" s="8" t="s">
        <v>176</v>
      </c>
      <c r="B3" s="7" t="s">
        <v>88</v>
      </c>
      <c r="C3" s="8" t="s">
        <v>100</v>
      </c>
      <c r="D3" s="5" t="s">
        <v>177</v>
      </c>
      <c r="E3" s="4" t="s">
        <v>82</v>
      </c>
      <c r="F3" s="4" t="s">
        <v>178</v>
      </c>
      <c r="G3" s="5" t="s">
        <v>179</v>
      </c>
      <c r="H3" s="5" t="s">
        <v>180</v>
      </c>
      <c r="I3" s="4" t="s">
        <v>181</v>
      </c>
      <c r="J3" s="4" t="s">
        <v>182</v>
      </c>
      <c r="K3" s="4" t="s">
        <v>183</v>
      </c>
      <c r="L3" s="4" t="s">
        <v>184</v>
      </c>
      <c r="M3" s="4" t="s">
        <v>185</v>
      </c>
      <c r="N3" s="4" t="s">
        <v>186</v>
      </c>
    </row>
    <row r="4" spans="1:14" ht="25" customHeight="1" x14ac:dyDescent="0.15">
      <c r="A4" s="8" t="s">
        <v>187</v>
      </c>
      <c r="B4" s="7" t="s">
        <v>188</v>
      </c>
      <c r="C4" s="4" t="s">
        <v>189</v>
      </c>
      <c r="D4" s="5" t="s">
        <v>190</v>
      </c>
      <c r="E4" s="9"/>
      <c r="F4" s="4" t="s">
        <v>191</v>
      </c>
      <c r="G4" s="5" t="s">
        <v>192</v>
      </c>
      <c r="H4" s="5" t="s">
        <v>193</v>
      </c>
      <c r="I4" s="4" t="s">
        <v>194</v>
      </c>
      <c r="J4" s="4" t="s">
        <v>195</v>
      </c>
      <c r="K4" s="4" t="s">
        <v>196</v>
      </c>
      <c r="L4" s="4" t="s">
        <v>197</v>
      </c>
      <c r="M4" s="4" t="s">
        <v>198</v>
      </c>
      <c r="N4" s="4" t="s">
        <v>199</v>
      </c>
    </row>
    <row r="5" spans="1:14" ht="25" customHeight="1" x14ac:dyDescent="0.15">
      <c r="A5" s="8" t="s">
        <v>200</v>
      </c>
      <c r="B5" s="7" t="s">
        <v>90</v>
      </c>
      <c r="C5" s="9"/>
      <c r="D5" s="5" t="s">
        <v>201</v>
      </c>
      <c r="E5" s="9"/>
      <c r="G5" s="5" t="s">
        <v>202</v>
      </c>
      <c r="H5" s="5" t="s">
        <v>203</v>
      </c>
      <c r="I5" s="4" t="s">
        <v>204</v>
      </c>
      <c r="J5" s="4" t="s">
        <v>205</v>
      </c>
      <c r="K5" s="4" t="s">
        <v>206</v>
      </c>
      <c r="L5" s="4" t="s">
        <v>207</v>
      </c>
      <c r="M5" s="4" t="s">
        <v>208</v>
      </c>
      <c r="N5" s="4" t="s">
        <v>209</v>
      </c>
    </row>
    <row r="6" spans="1:14" ht="25" customHeight="1" x14ac:dyDescent="0.15">
      <c r="A6" s="8" t="s">
        <v>210</v>
      </c>
      <c r="B6" s="7" t="s">
        <v>211</v>
      </c>
      <c r="C6" s="9"/>
      <c r="D6" s="5" t="s">
        <v>212</v>
      </c>
      <c r="E6" s="9"/>
      <c r="G6" s="5" t="s">
        <v>213</v>
      </c>
      <c r="H6" s="5" t="s">
        <v>214</v>
      </c>
      <c r="I6" s="4" t="s">
        <v>215</v>
      </c>
      <c r="K6" s="4" t="s">
        <v>216</v>
      </c>
      <c r="N6" s="4" t="s">
        <v>217</v>
      </c>
    </row>
    <row r="7" spans="1:14" ht="25" customHeight="1" x14ac:dyDescent="0.15">
      <c r="A7" s="6" t="s">
        <v>218</v>
      </c>
      <c r="B7" s="7" t="s">
        <v>219</v>
      </c>
      <c r="C7" s="9"/>
      <c r="D7" s="9"/>
      <c r="E7" s="9"/>
      <c r="I7" s="4" t="s">
        <v>220</v>
      </c>
      <c r="K7" s="4" t="s">
        <v>221</v>
      </c>
      <c r="N7" s="4" t="s">
        <v>222</v>
      </c>
    </row>
    <row r="8" spans="1:14" ht="25" customHeight="1" x14ac:dyDescent="0.15">
      <c r="A8" s="10" t="s">
        <v>81</v>
      </c>
      <c r="B8" s="9"/>
      <c r="C8" s="9"/>
      <c r="D8" s="9"/>
      <c r="E8" s="9"/>
      <c r="I8" s="4" t="s">
        <v>223</v>
      </c>
      <c r="K8" s="4" t="s">
        <v>224</v>
      </c>
    </row>
    <row r="9" spans="1:14" ht="25" customHeight="1" x14ac:dyDescent="0.15">
      <c r="A9" s="5" t="s">
        <v>225</v>
      </c>
      <c r="B9" s="9"/>
      <c r="C9" s="9"/>
      <c r="D9" s="9"/>
      <c r="E9" s="9"/>
      <c r="I9" s="4" t="s">
        <v>226</v>
      </c>
      <c r="K9" s="4" t="s">
        <v>227</v>
      </c>
    </row>
    <row r="10" spans="1:14" ht="25" customHeight="1" x14ac:dyDescent="0.15">
      <c r="A10" s="5" t="s">
        <v>228</v>
      </c>
      <c r="B10" s="9"/>
      <c r="C10" s="9"/>
      <c r="D10" s="9"/>
      <c r="E10" s="9"/>
      <c r="I10" s="4" t="s">
        <v>229</v>
      </c>
      <c r="K10" s="4" t="s">
        <v>230</v>
      </c>
    </row>
    <row r="11" spans="1:14" ht="25" customHeight="1" x14ac:dyDescent="0.15">
      <c r="A11" s="5" t="s">
        <v>231</v>
      </c>
      <c r="B11" s="9"/>
      <c r="C11" s="9"/>
      <c r="D11" s="9"/>
      <c r="E11" s="9"/>
      <c r="I11" s="4" t="s">
        <v>232</v>
      </c>
      <c r="K11" s="4" t="s">
        <v>233</v>
      </c>
    </row>
    <row r="12" spans="1:14" ht="25" customHeight="1" x14ac:dyDescent="0.15">
      <c r="A12" s="10" t="s">
        <v>234</v>
      </c>
      <c r="B12" s="9"/>
      <c r="C12" s="9"/>
      <c r="D12" s="9"/>
      <c r="E12" s="9"/>
      <c r="I12" s="4" t="s">
        <v>235</v>
      </c>
      <c r="K12" s="4" t="s">
        <v>236</v>
      </c>
    </row>
    <row r="13" spans="1:14" ht="25" customHeight="1" x14ac:dyDescent="0.15">
      <c r="A13" s="10" t="s">
        <v>237</v>
      </c>
      <c r="B13" s="9"/>
      <c r="C13" s="9"/>
      <c r="D13" s="9"/>
      <c r="E13" s="9"/>
      <c r="I13" s="4" t="s">
        <v>238</v>
      </c>
      <c r="K13" s="4" t="s">
        <v>239</v>
      </c>
    </row>
    <row r="14" spans="1:14" ht="25" customHeight="1" x14ac:dyDescent="0.15">
      <c r="A14" s="9"/>
      <c r="B14" s="9"/>
      <c r="C14" s="9"/>
      <c r="D14" s="9"/>
      <c r="E14" s="9"/>
      <c r="I14" s="4" t="s">
        <v>240</v>
      </c>
      <c r="K14" s="4" t="s">
        <v>241</v>
      </c>
    </row>
    <row r="15" spans="1:14" ht="25" customHeight="1" x14ac:dyDescent="0.15">
      <c r="A15" s="9"/>
      <c r="B15" s="9"/>
      <c r="C15" s="9"/>
      <c r="D15" s="9"/>
      <c r="E15" s="9"/>
      <c r="I15" s="4" t="s">
        <v>242</v>
      </c>
      <c r="K15" s="4" t="s">
        <v>243</v>
      </c>
    </row>
    <row r="16" spans="1:14" ht="25" customHeight="1" x14ac:dyDescent="0.15">
      <c r="A16" s="9"/>
      <c r="B16" s="9"/>
      <c r="C16" s="9"/>
      <c r="D16" s="9"/>
      <c r="E16" s="9"/>
      <c r="I16" s="4" t="s">
        <v>244</v>
      </c>
      <c r="K16" s="4" t="s">
        <v>245</v>
      </c>
    </row>
    <row r="17" spans="1:11" ht="25" customHeight="1" x14ac:dyDescent="0.15">
      <c r="A17" s="9"/>
      <c r="B17" s="9"/>
      <c r="C17" s="9"/>
      <c r="D17" s="9"/>
      <c r="E17" s="9"/>
      <c r="I17" s="4" t="s">
        <v>246</v>
      </c>
      <c r="K17" s="4" t="s">
        <v>247</v>
      </c>
    </row>
    <row r="18" spans="1:11" ht="25" customHeight="1" x14ac:dyDescent="0.15">
      <c r="A18" s="9"/>
      <c r="B18" s="9"/>
      <c r="C18" s="9"/>
      <c r="D18" s="9"/>
      <c r="E18" s="9"/>
      <c r="I18" s="4" t="s">
        <v>248</v>
      </c>
      <c r="K18" s="4" t="s">
        <v>249</v>
      </c>
    </row>
    <row r="19" spans="1:11" ht="25" customHeight="1" x14ac:dyDescent="0.15">
      <c r="A19" s="9"/>
      <c r="B19" s="9"/>
      <c r="C19" s="9"/>
      <c r="D19" s="9"/>
      <c r="E19" s="9"/>
      <c r="I19" s="4" t="s">
        <v>250</v>
      </c>
      <c r="K19" s="4" t="s">
        <v>251</v>
      </c>
    </row>
    <row r="20" spans="1:11" ht="25" customHeight="1" x14ac:dyDescent="0.15">
      <c r="A20" s="9"/>
      <c r="B20" s="9"/>
      <c r="C20" s="9"/>
      <c r="D20" s="9"/>
      <c r="E20" s="9"/>
      <c r="I20" s="4" t="s">
        <v>252</v>
      </c>
      <c r="K20" s="4" t="s">
        <v>253</v>
      </c>
    </row>
    <row r="21" spans="1:11" ht="25" customHeight="1" x14ac:dyDescent="0.15">
      <c r="A21" s="9"/>
      <c r="B21" s="9"/>
      <c r="C21" s="9"/>
      <c r="D21" s="9"/>
      <c r="E21" s="9"/>
      <c r="K21" s="4" t="s">
        <v>254</v>
      </c>
    </row>
    <row r="22" spans="1:11" ht="25" customHeight="1" x14ac:dyDescent="0.15">
      <c r="A22" s="9"/>
      <c r="B22" s="9"/>
      <c r="C22" s="9"/>
      <c r="D22" s="9"/>
      <c r="E22" s="9"/>
      <c r="K22" s="4" t="s">
        <v>255</v>
      </c>
    </row>
    <row r="23" spans="1:11" ht="25" customHeight="1" x14ac:dyDescent="0.15">
      <c r="A23" s="9"/>
      <c r="B23" s="9"/>
      <c r="C23" s="9"/>
      <c r="D23" s="9"/>
      <c r="E23" s="9"/>
      <c r="K23" s="4" t="s">
        <v>256</v>
      </c>
    </row>
    <row r="24" spans="1:11" ht="25" customHeight="1" x14ac:dyDescent="0.15">
      <c r="A24" s="9"/>
      <c r="B24" s="9"/>
      <c r="C24" s="9"/>
      <c r="D24" s="9"/>
      <c r="E24" s="9"/>
      <c r="K24" s="4" t="s">
        <v>257</v>
      </c>
    </row>
    <row r="25" spans="1:11" ht="25" customHeight="1" x14ac:dyDescent="0.15">
      <c r="A25" s="9"/>
      <c r="B25" s="9"/>
      <c r="C25" s="9"/>
      <c r="D25" s="9"/>
      <c r="E25" s="9"/>
      <c r="K25" s="4" t="s">
        <v>258</v>
      </c>
    </row>
    <row r="26" spans="1:11" ht="25" customHeight="1" x14ac:dyDescent="0.15">
      <c r="A26" s="9"/>
      <c r="B26" s="9"/>
      <c r="C26" s="9"/>
      <c r="D26" s="9"/>
      <c r="E26" s="9"/>
      <c r="K26" s="4" t="s">
        <v>259</v>
      </c>
    </row>
    <row r="27" spans="1:11" ht="25" customHeight="1" x14ac:dyDescent="0.15">
      <c r="A27" s="9"/>
      <c r="B27" s="9"/>
      <c r="C27" s="9"/>
      <c r="D27" s="9"/>
      <c r="E27" s="9"/>
      <c r="K27" s="4" t="s">
        <v>260</v>
      </c>
    </row>
    <row r="28" spans="1:11" ht="25" customHeight="1" x14ac:dyDescent="0.15">
      <c r="A28" s="9"/>
      <c r="B28" s="9"/>
      <c r="C28" s="9"/>
      <c r="D28" s="9"/>
      <c r="E28" s="9"/>
      <c r="K28" s="4" t="s">
        <v>261</v>
      </c>
    </row>
    <row r="29" spans="1:11" ht="25" customHeight="1" x14ac:dyDescent="0.15">
      <c r="A29" s="9"/>
      <c r="B29" s="9"/>
      <c r="C29" s="9"/>
      <c r="D29" s="9"/>
      <c r="E29" s="9"/>
    </row>
    <row r="30" spans="1:11" ht="25" customHeight="1" x14ac:dyDescent="0.15">
      <c r="A30" s="9"/>
      <c r="B30" s="9"/>
      <c r="C30" s="9"/>
      <c r="D30" s="9"/>
      <c r="E30" s="9"/>
    </row>
    <row r="31" spans="1:11" ht="25" customHeight="1" x14ac:dyDescent="0.15">
      <c r="A31" s="9"/>
      <c r="B31" s="9"/>
      <c r="C31" s="9"/>
      <c r="D31" s="9"/>
      <c r="E31" s="9"/>
    </row>
    <row r="32" spans="1:11" ht="25" customHeight="1" x14ac:dyDescent="0.15">
      <c r="A32" s="9"/>
      <c r="B32" s="9"/>
      <c r="C32" s="9"/>
      <c r="D32" s="9"/>
      <c r="E32" s="9"/>
    </row>
    <row r="33" spans="1:5" ht="25" customHeight="1" x14ac:dyDescent="0.15">
      <c r="A33" s="9"/>
      <c r="B33" s="9"/>
      <c r="C33" s="9"/>
      <c r="D33" s="9"/>
      <c r="E33" s="9"/>
    </row>
    <row r="34" spans="1:5" ht="25" customHeight="1" x14ac:dyDescent="0.15">
      <c r="A34" s="9"/>
      <c r="B34" s="9"/>
      <c r="C34" s="9"/>
      <c r="D34" s="9"/>
      <c r="E34" s="9"/>
    </row>
    <row r="35" spans="1:5" ht="25" customHeight="1" x14ac:dyDescent="0.15">
      <c r="A35" s="9"/>
      <c r="B35" s="9"/>
      <c r="C35" s="9"/>
      <c r="D35" s="9"/>
      <c r="E35" s="9"/>
    </row>
    <row r="36" spans="1:5" ht="25" customHeight="1" x14ac:dyDescent="0.15">
      <c r="A36" s="9"/>
      <c r="B36" s="9"/>
      <c r="C36" s="9"/>
      <c r="D36" s="9"/>
      <c r="E36" s="9"/>
    </row>
    <row r="37" spans="1:5" ht="25" customHeight="1" x14ac:dyDescent="0.15">
      <c r="A37" s="9"/>
      <c r="B37" s="9"/>
      <c r="C37" s="9"/>
      <c r="D37" s="9"/>
      <c r="E37" s="9"/>
    </row>
    <row r="38" spans="1:5" ht="25" customHeight="1" x14ac:dyDescent="0.15">
      <c r="A38" s="9"/>
      <c r="B38" s="9"/>
      <c r="C38" s="9"/>
      <c r="D38" s="9"/>
      <c r="E38" s="9"/>
    </row>
    <row r="39" spans="1:5" ht="25" customHeight="1" x14ac:dyDescent="0.15">
      <c r="A39" s="9"/>
      <c r="B39" s="9"/>
      <c r="C39" s="9"/>
      <c r="D39" s="9"/>
      <c r="E39" s="9"/>
    </row>
  </sheetData>
  <customSheetViews>
    <customSheetView guid="{4C038D33-707E-4C0B-8CC1-04988FDBD446}" scale="85" topLeftCell="A4">
      <selection activeCell="D2" sqref="D2:D38"/>
      <pageMargins left="0" right="0" top="0" bottom="0" header="0" footer="0"/>
      <pageSetup orientation="portrait" verticalDpi="0" r:id="rId1"/>
    </customSheetView>
    <customSheetView guid="{ACD7FFF6-38FF-473B-A815-6EBAF6DAB5C0}" scale="85">
      <selection activeCell="D2" sqref="D2"/>
      <pageMargins left="0" right="0" top="0" bottom="0" header="0" footer="0"/>
      <pageSetup orientation="portrait" verticalDpi="0" r:id="rId2"/>
    </customSheetView>
  </customSheetView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istasEditables"/>
  <dimension ref="A1:A5"/>
  <sheetViews>
    <sheetView showGridLines="0" workbookViewId="0">
      <selection activeCell="A13" sqref="A13"/>
    </sheetView>
  </sheetViews>
  <sheetFormatPr baseColWidth="10" defaultColWidth="11.5" defaultRowHeight="15" x14ac:dyDescent="0.2"/>
  <cols>
    <col min="1" max="1" width="21.5" customWidth="1"/>
    <col min="2" max="2" width="74" customWidth="1"/>
    <col min="3" max="3" width="28.33203125" customWidth="1"/>
    <col min="4" max="4" width="15.5" customWidth="1"/>
  </cols>
  <sheetData>
    <row r="1" spans="1:1" x14ac:dyDescent="0.2">
      <c r="A1" s="48" t="s">
        <v>87</v>
      </c>
    </row>
    <row r="2" spans="1:1" x14ac:dyDescent="0.2">
      <c r="A2" s="49" t="s">
        <v>262</v>
      </c>
    </row>
    <row r="3" spans="1:1" x14ac:dyDescent="0.2">
      <c r="A3" s="49" t="s">
        <v>263</v>
      </c>
    </row>
    <row r="4" spans="1:1" x14ac:dyDescent="0.2">
      <c r="A4" s="49" t="s">
        <v>264</v>
      </c>
    </row>
    <row r="5" spans="1:1" x14ac:dyDescent="0.2">
      <c r="A5" s="49" t="s">
        <v>265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vt:i4>
      </vt:variant>
      <vt:variant>
        <vt:lpstr>Rangos con nombre</vt:lpstr>
      </vt:variant>
      <vt:variant>
        <vt:i4>6</vt:i4>
      </vt:variant>
    </vt:vector>
  </HeadingPairs>
  <TitlesOfParts>
    <vt:vector size="8" baseType="lpstr">
      <vt:lpstr>PlanPruebas</vt:lpstr>
      <vt:lpstr>ListasEditables</vt:lpstr>
      <vt:lpstr>Accion</vt:lpstr>
      <vt:lpstr>ImpactoIssue</vt:lpstr>
      <vt:lpstr>Operacion</vt:lpstr>
      <vt:lpstr>Producto</vt:lpstr>
      <vt:lpstr>SiNo</vt:lpstr>
      <vt:lpstr>Unidad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01</dc:creator>
  <cp:keywords/>
  <dc:description/>
  <cp:lastModifiedBy>Microsoft Office User</cp:lastModifiedBy>
  <cp:revision/>
  <dcterms:created xsi:type="dcterms:W3CDTF">2015-02-23T21:19:26Z</dcterms:created>
  <dcterms:modified xsi:type="dcterms:W3CDTF">2022-10-05T19:39:32Z</dcterms:modified>
  <cp:category/>
  <cp:contentStatus/>
</cp:coreProperties>
</file>