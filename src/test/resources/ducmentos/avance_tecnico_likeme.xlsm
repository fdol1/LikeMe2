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3.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4.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workbookPr defaultThemeVersion="124226"/>
  <mc:AlternateContent xmlns:mc="http://schemas.openxmlformats.org/markup-compatibility/2006">
    <mc:Choice Requires="x15">
      <x15ac:absPath xmlns:x15ac="http://schemas.microsoft.com/office/spreadsheetml/2010/11/ac" url="/Users/choucair/Downloads/"/>
    </mc:Choice>
  </mc:AlternateContent>
  <xr:revisionPtr revIDLastSave="0" documentId="13_ncr:1_{0D9AB213-BF2A-BA46-8927-25B1764D44C4}" xr6:coauthVersionLast="47" xr6:coauthVersionMax="47" xr10:uidLastSave="{00000000-0000-0000-0000-000000000000}"/>
  <bookViews>
    <workbookView minimized="1" xWindow="0" yWindow="500" windowWidth="35840" windowHeight="20860" xr2:uid="{00000000-000D-0000-FFFF-FFFF00000000}"/>
  </bookViews>
  <sheets>
    <sheet name="Flujos Automatizados Movil" sheetId="1" r:id="rId1"/>
    <sheet name="Hoja1" sheetId="11" r:id="rId2"/>
    <sheet name="Resumen Total Movil" sheetId="2" r:id="rId3"/>
    <sheet name="Graficas" sheetId="10" state="hidden" r:id="rId4"/>
    <sheet name="Resumen Diario Movil" sheetId="3" state="hidden" r:id="rId5"/>
    <sheet name="Tiempos Muertos" sheetId="9" r:id="rId6"/>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3" i="1" l="1"/>
  <c r="H22" i="1"/>
  <c r="P22" i="1" s="1"/>
  <c r="P7" i="1"/>
  <c r="P9" i="1"/>
  <c r="P10" i="1"/>
  <c r="P11" i="1"/>
  <c r="P12" i="1"/>
  <c r="P13" i="1"/>
  <c r="P23" i="1"/>
  <c r="P24" i="1"/>
  <c r="P25" i="1"/>
  <c r="P26" i="1"/>
  <c r="P27" i="1"/>
  <c r="P28" i="1"/>
  <c r="P29" i="1"/>
  <c r="P30" i="1"/>
  <c r="O7" i="1"/>
  <c r="Q7" i="1" s="1"/>
  <c r="O8" i="1"/>
  <c r="O9" i="1"/>
  <c r="Q9" i="1" s="1"/>
  <c r="O10" i="1"/>
  <c r="Q10" i="1" s="1"/>
  <c r="O14" i="1"/>
  <c r="O23" i="1"/>
  <c r="O24" i="1"/>
  <c r="O25" i="1"/>
  <c r="O26" i="1"/>
  <c r="Q26" i="1" s="1"/>
  <c r="O27" i="1"/>
  <c r="O28" i="1"/>
  <c r="Q28" i="1" s="1"/>
  <c r="O29" i="1"/>
  <c r="Q29" i="1" s="1"/>
  <c r="O30" i="1"/>
  <c r="H8" i="1"/>
  <c r="P8" i="1" s="1"/>
  <c r="H13" i="1"/>
  <c r="O13" i="1" s="1"/>
  <c r="Q13" i="1" s="1"/>
  <c r="H12" i="1"/>
  <c r="O12" i="1" s="1"/>
  <c r="Q12" i="1" s="1"/>
  <c r="H5" i="1"/>
  <c r="O5" i="1" s="1"/>
  <c r="H6" i="1"/>
  <c r="P6" i="1" s="1"/>
  <c r="H7" i="1"/>
  <c r="H9" i="1"/>
  <c r="H10" i="1"/>
  <c r="H11" i="1"/>
  <c r="O11" i="1" s="1"/>
  <c r="Q11" i="1" s="1"/>
  <c r="H14" i="1"/>
  <c r="P14" i="1" s="1"/>
  <c r="Q14" i="1" s="1"/>
  <c r="H15" i="1"/>
  <c r="P15" i="1" s="1"/>
  <c r="H16" i="1"/>
  <c r="O16" i="1" s="1"/>
  <c r="H17" i="1"/>
  <c r="P17" i="1" s="1"/>
  <c r="H18" i="1"/>
  <c r="P18" i="1" s="1"/>
  <c r="H19" i="1"/>
  <c r="P19" i="1" s="1"/>
  <c r="H20" i="1"/>
  <c r="O20" i="1" s="1"/>
  <c r="H21" i="1"/>
  <c r="P21" i="1" s="1"/>
  <c r="H4" i="1"/>
  <c r="Q23" i="1" l="1"/>
  <c r="Q25" i="1"/>
  <c r="Q30" i="1"/>
  <c r="Q27" i="1"/>
  <c r="Q24" i="1"/>
  <c r="O22" i="1"/>
  <c r="Q22" i="1" s="1"/>
  <c r="Q8" i="1"/>
  <c r="O21" i="1"/>
  <c r="Q21" i="1" s="1"/>
  <c r="O19" i="1"/>
  <c r="Q19" i="1" s="1"/>
  <c r="O18" i="1"/>
  <c r="Q18" i="1" s="1"/>
  <c r="P20" i="1"/>
  <c r="Q20" i="1" s="1"/>
  <c r="P5" i="1"/>
  <c r="Q5" i="1" s="1"/>
  <c r="P16" i="1"/>
  <c r="Q16" i="1" s="1"/>
  <c r="O6" i="1"/>
  <c r="Q6" i="1" s="1"/>
  <c r="O17" i="1"/>
  <c r="Q17" i="1" s="1"/>
  <c r="O15" i="1"/>
  <c r="Q15" i="1" s="1"/>
  <c r="J95" i="2"/>
  <c r="T33" i="2"/>
  <c r="U33" i="2"/>
  <c r="V33" i="2"/>
  <c r="T36" i="2"/>
  <c r="U36" i="2"/>
  <c r="V36" i="2"/>
  <c r="T37" i="2"/>
  <c r="U37" i="2"/>
  <c r="V37" i="2"/>
  <c r="D142" i="2"/>
  <c r="D143" i="2"/>
  <c r="D144" i="2"/>
  <c r="D141" i="2"/>
  <c r="C144" i="2"/>
  <c r="C143" i="2"/>
  <c r="C142" i="2"/>
  <c r="C141" i="2"/>
  <c r="C94" i="2"/>
  <c r="C42" i="10"/>
  <c r="E141" i="2" l="1"/>
  <c r="C145" i="2"/>
  <c r="E144" i="2"/>
  <c r="G144" i="2" s="1"/>
  <c r="E143" i="2"/>
  <c r="G143" i="2" s="1"/>
  <c r="E142" i="2"/>
  <c r="D145" i="2"/>
  <c r="D97" i="2"/>
  <c r="D96" i="2"/>
  <c r="D95" i="2"/>
  <c r="C97" i="2"/>
  <c r="C96" i="2"/>
  <c r="C95" i="2"/>
  <c r="D94" i="2"/>
  <c r="D51" i="2"/>
  <c r="D50" i="2"/>
  <c r="D49" i="2"/>
  <c r="C51" i="2"/>
  <c r="C50" i="2"/>
  <c r="C49" i="2"/>
  <c r="E51" i="2" l="1"/>
  <c r="G51" i="2" s="1"/>
  <c r="E50" i="2"/>
  <c r="G50" i="2" s="1"/>
  <c r="E145" i="2"/>
  <c r="E95" i="2"/>
  <c r="E96" i="2"/>
  <c r="G96" i="2" s="1"/>
  <c r="C98" i="2"/>
  <c r="D98" i="2"/>
  <c r="E97" i="2"/>
  <c r="G97" i="2" s="1"/>
  <c r="E94" i="2"/>
  <c r="D5" i="2"/>
  <c r="D4" i="2"/>
  <c r="C5" i="2"/>
  <c r="C4" i="2"/>
  <c r="D48" i="2"/>
  <c r="C48" i="2"/>
  <c r="J167" i="2" l="1"/>
  <c r="J172" i="2"/>
  <c r="AB3" i="2" s="1"/>
  <c r="J176" i="2"/>
  <c r="L167" i="2"/>
  <c r="L172" i="2"/>
  <c r="AB5" i="2" s="1"/>
  <c r="K167" i="2"/>
  <c r="L176" i="2"/>
  <c r="K172" i="2"/>
  <c r="AB4" i="2" s="1"/>
  <c r="K176" i="2"/>
  <c r="K163" i="2"/>
  <c r="AD4" i="2" s="1"/>
  <c r="L163" i="2"/>
  <c r="AD5" i="2" s="1"/>
  <c r="L181" i="2"/>
  <c r="AA5" i="2" s="1"/>
  <c r="L185" i="2"/>
  <c r="J163" i="2"/>
  <c r="AD3" i="2" s="1"/>
  <c r="K154" i="2"/>
  <c r="AC4" i="2" s="1"/>
  <c r="K181" i="2"/>
  <c r="AA4" i="2" s="1"/>
  <c r="K185" i="2"/>
  <c r="J181" i="2"/>
  <c r="AA3" i="2" s="1"/>
  <c r="J185" i="2"/>
  <c r="J158" i="2"/>
  <c r="K158" i="2"/>
  <c r="F141" i="2"/>
  <c r="G141" i="2" s="1"/>
  <c r="J154" i="2"/>
  <c r="AC3" i="2" s="1"/>
  <c r="L158" i="2"/>
  <c r="L154" i="2"/>
  <c r="AC5" i="2" s="1"/>
  <c r="F142" i="2"/>
  <c r="G142" i="2" s="1"/>
  <c r="E5" i="2"/>
  <c r="E4" i="2"/>
  <c r="E98" i="2"/>
  <c r="E48" i="2"/>
  <c r="D52" i="2"/>
  <c r="E49" i="2"/>
  <c r="C52" i="2"/>
  <c r="G145" i="2" l="1"/>
  <c r="F145" i="2"/>
  <c r="K142" i="2"/>
  <c r="S4" i="2" s="1"/>
  <c r="L146" i="2"/>
  <c r="K146" i="2"/>
  <c r="J146" i="2"/>
  <c r="J142" i="2"/>
  <c r="S3" i="2" s="1"/>
  <c r="L142" i="2"/>
  <c r="S5" i="2" s="1"/>
  <c r="E52" i="2"/>
  <c r="F95" i="2" l="1"/>
  <c r="G95" i="2" s="1"/>
  <c r="F94" i="2"/>
  <c r="G94" i="2" s="1"/>
  <c r="F48" i="2"/>
  <c r="G48" i="2" s="1"/>
  <c r="F49" i="2"/>
  <c r="G49" i="2" s="1"/>
  <c r="J49" i="2"/>
  <c r="U3" i="2" s="1"/>
  <c r="J53" i="2"/>
  <c r="G2" i="9"/>
  <c r="K53" i="2" l="1"/>
  <c r="K49" i="2"/>
  <c r="T4" i="2" s="1"/>
  <c r="G98" i="2"/>
  <c r="F98" i="2"/>
  <c r="L95" i="2"/>
  <c r="T5" i="2" s="1"/>
  <c r="L99" i="2"/>
  <c r="K95" i="2"/>
  <c r="T3" i="2"/>
  <c r="J99" i="2"/>
  <c r="K99" i="2"/>
  <c r="L49" i="2"/>
  <c r="U5" i="2" s="1"/>
  <c r="L53" i="2"/>
  <c r="G52" i="2"/>
  <c r="F52" i="2"/>
  <c r="U4" i="2" l="1"/>
  <c r="D3" i="2" l="1"/>
  <c r="D2" i="2"/>
  <c r="C3" i="2"/>
  <c r="C2" i="2"/>
  <c r="P4" i="1" l="1"/>
  <c r="P31" i="1" s="1"/>
  <c r="O4" i="1"/>
  <c r="O31" i="1" s="1"/>
  <c r="D6" i="2"/>
  <c r="E2" i="2"/>
  <c r="C6" i="2"/>
  <c r="E3" i="2"/>
  <c r="Q4" i="1" l="1"/>
  <c r="Q31" i="1" s="1"/>
  <c r="F2" i="2"/>
  <c r="G2" i="2" s="1"/>
  <c r="F5" i="2"/>
  <c r="G5" i="2" s="1"/>
  <c r="F4" i="2"/>
  <c r="G4" i="2" s="1"/>
  <c r="F3" i="2"/>
  <c r="J3" i="2" l="1"/>
  <c r="V3" i="2" s="1"/>
  <c r="L3" i="2"/>
  <c r="V5" i="2" s="1"/>
  <c r="J7" i="2"/>
  <c r="K3" i="2"/>
  <c r="V4" i="2" s="1"/>
  <c r="K7" i="2"/>
  <c r="L7" i="2"/>
  <c r="G3" i="2"/>
  <c r="G6" i="2" s="1"/>
  <c r="F6" i="2"/>
  <c r="E6" i="2"/>
</calcChain>
</file>

<file path=xl/sharedStrings.xml><?xml version="1.0" encoding="utf-8"?>
<sst xmlns="http://schemas.openxmlformats.org/spreadsheetml/2006/main" count="269" uniqueCount="128">
  <si>
    <t>Id</t>
  </si>
  <si>
    <t>Tipo</t>
  </si>
  <si>
    <t>Tags</t>
  </si>
  <si>
    <t>Modelo de Negocio</t>
  </si>
  <si>
    <t>Modelado Tecnico</t>
  </si>
  <si>
    <t>% Avance Auto Temprana</t>
  </si>
  <si>
    <t>Avance Android</t>
  </si>
  <si>
    <t>Avance IOS</t>
  </si>
  <si>
    <t>Avance Total Móvil</t>
  </si>
  <si>
    <t>Avance Total</t>
  </si>
  <si>
    <t>Cuenta de Ahorros Tradicional Cliente Nuevo</t>
  </si>
  <si>
    <t>Funcional</t>
  </si>
  <si>
    <t>Credito Personal</t>
  </si>
  <si>
    <t xml:space="preserve">Tecnologia </t>
  </si>
  <si>
    <t>Avance Modelo Negocio</t>
  </si>
  <si>
    <t>Avance Modelo Tecnico</t>
  </si>
  <si>
    <t>Avance Automatización Temprana</t>
  </si>
  <si>
    <t>Avance Estructura Técnica</t>
  </si>
  <si>
    <t>RESUMEN FLUJOS AUTO CUENTA DE AHORROS MÓVIL</t>
  </si>
  <si>
    <t>CLIENTE NUEVO</t>
  </si>
  <si>
    <t>Android</t>
  </si>
  <si>
    <t>Flujos Negativos</t>
  </si>
  <si>
    <t>Flujos Alternos</t>
  </si>
  <si>
    <t>Flujos Funcionales</t>
  </si>
  <si>
    <t>TC</t>
  </si>
  <si>
    <t>Nomina</t>
  </si>
  <si>
    <t>Ahorros</t>
  </si>
  <si>
    <t>Credito Personal CE</t>
  </si>
  <si>
    <t>TC CE</t>
  </si>
  <si>
    <t>Nomina CE</t>
  </si>
  <si>
    <t>Ahorros CE</t>
  </si>
  <si>
    <t>Credito Rotativo CE</t>
  </si>
  <si>
    <t>IOS</t>
  </si>
  <si>
    <t>Tablet</t>
  </si>
  <si>
    <t>Web</t>
  </si>
  <si>
    <t>RESUMEN FLUJOS AUTO CUENTA DE AHORROS PROYECTO</t>
  </si>
  <si>
    <t>Total</t>
  </si>
  <si>
    <t>Ahorro</t>
  </si>
  <si>
    <t>Alternos</t>
  </si>
  <si>
    <t>Negativos</t>
  </si>
  <si>
    <t>Funcionales</t>
  </si>
  <si>
    <t>TOTAL</t>
  </si>
  <si>
    <t>Casos de prueba</t>
  </si>
  <si>
    <t>Tiempo manual/horas</t>
  </si>
  <si>
    <t>Tiempo auto aprox</t>
  </si>
  <si>
    <t>RESUMEN FLUJOS AUTO CUENTA DE NOMINA MÓVIL</t>
  </si>
  <si>
    <t>Cuenta de Nomina</t>
  </si>
  <si>
    <t>RESUMEN FLUJOS AUTO CUENTA DE NOMINA</t>
  </si>
  <si>
    <t>RESUMEN FLUJOS AUTO TARJETA DE CREDITO MOVIL</t>
  </si>
  <si>
    <t>Tarjeta de Crédito</t>
  </si>
  <si>
    <t>RESUMEN FLUJOS AUTO TARJETA DE CREDITO</t>
  </si>
  <si>
    <t>RESUMEN FLUJOS AUTO CREDITO PERSONAL MOVIL</t>
  </si>
  <si>
    <t>RESUMEN FLUJOS AUTO CREDITO PERSONAL</t>
  </si>
  <si>
    <t>RESUMEN FLUJOS AUTO CUENTA NOMINA CE MOVIL</t>
  </si>
  <si>
    <t>RESUMEN FLUJOS AUTO CUENTA NOMINA CE</t>
  </si>
  <si>
    <t>RESUMEN FLUJOS AUTO CUENTA AHORROS CE MOVIL</t>
  </si>
  <si>
    <t>RESUMEN FLUJOS AUTO CUENTA AHORROS CE</t>
  </si>
  <si>
    <t>RESUMEN FLUJOS AUTO TARJETA CREDITO CE MOVIL</t>
  </si>
  <si>
    <t>RESUMEN FLUJOS AUTO TARJETA CREDITO CE</t>
  </si>
  <si>
    <t>RESUMEN FLUJOS AUTO CREDITO PERSONAL CE MOVIL</t>
  </si>
  <si>
    <t>RESUMEN FLUJOS AUTO CREDITO PERSONAL CE</t>
  </si>
  <si>
    <t>Ayer</t>
  </si>
  <si>
    <t>Trabajo</t>
  </si>
  <si>
    <t>Real, en progreso 6</t>
  </si>
  <si>
    <t>Estimado, 2 flujos E2E</t>
  </si>
  <si>
    <t>Hoy</t>
  </si>
  <si>
    <t>Real, Se culmina estabilización flujos funcionales</t>
  </si>
  <si>
    <t>ID</t>
  </si>
  <si>
    <t>Fecha Inconveniente</t>
  </si>
  <si>
    <t>Causa o problema</t>
  </si>
  <si>
    <t>Tiempo de solución Horas</t>
  </si>
  <si>
    <t xml:space="preserve">Analista Afectado </t>
  </si>
  <si>
    <t>Total Horas</t>
  </si>
  <si>
    <t>No es posible conexión a la Mac asignada desde remoto, por lo cual se llamo a mesa de ayuda pero manifestaron que no habia fallas masivas, así que se realiza contacto con Karina (Soporte TI banco) lo cual manifiesta que necesita realizar actualizacion del sistema operativo a la 13.5.7, ella toma el control de la maquina desde sitio y despues de 2 horas puedo trabajar nuevamente.</t>
  </si>
  <si>
    <t>Jesus Martinez</t>
  </si>
  <si>
    <t>No es posible conexión a la Mac asignada desde remoto, por lo cual se llamo a mesa de ayuda pero manifestaron que no habia fallas masivas, así que se realiza contacto con Karina (Soporte TI banco) la cual informa que el equipo se encontraba apagado, encendio nuevamente el PC y luego de ingresar con mis credenciales se puede ingresar normalmente.</t>
  </si>
  <si>
    <t>Jorge Arismendy</t>
  </si>
  <si>
    <t>Durante la mañana se presenta lentitud en VPN Palo Alto, para lo cual se creo el aranda 601428</t>
  </si>
  <si>
    <t>Durante la mañana se presenta lentitud en VPN Palo Alto, para lo cual se creo el aranda 601424</t>
  </si>
  <si>
    <t xml:space="preserve">Durante la tarde se presenta lentitud en VPN Palo Alto, para lo cual se creo el aranda 605151 </t>
  </si>
  <si>
    <t>Durante la tarde se presenta lentitud en VPN Palo Alto, para lo cual se creo el aranda 605152</t>
  </si>
  <si>
    <t>Debido a daños en cables de datos para Dispositivo Android Samsung A50 y iPhone X, se desconectaron lo cual entorpecio las laboras durante la mañana, se realizo busqueda de alguna persona para poder revisar y dar corrección a dicho inconveniente, este problema se tiene desde el inicio de las pruebas para Onboarding tobe, afectando el trabajo remoto.</t>
  </si>
  <si>
    <t>Debido a inconvenientes con el equipo MAC no fue posible establecer conexión por VPN, se llamo a soporte y cuando revisaron estaba apagada, según informan hay que actualizar politicas de McAfee, tambien los dispositivos moviles no se mostraban cuando hubo conexion por lo que fue necesario esperar a que nuevamente entraran a la sala y revisaran que sucedia, todo el proceso se soluciono gracias a Karina de TI banco.</t>
  </si>
  <si>
    <t>Mapeo Objetos Android</t>
  </si>
  <si>
    <t>Mapeo de Objetos IOS</t>
  </si>
  <si>
    <t>Estabilización</t>
  </si>
  <si>
    <t>Login</t>
  </si>
  <si>
    <t>Flujo</t>
  </si>
  <si>
    <t>Total de Escenarios</t>
  </si>
  <si>
    <t>Escenarios pendinetes</t>
  </si>
  <si>
    <t>Total de Escenarios Automatizados</t>
  </si>
  <si>
    <t>Escenarios</t>
  </si>
  <si>
    <t>Modulo</t>
  </si>
  <si>
    <t>Iniciar sesión exitoso</t>
  </si>
  <si>
    <t>Iniciar sesión con clave invalida</t>
  </si>
  <si>
    <t>Iniciar sesión con formato de correo invalido</t>
  </si>
  <si>
    <t>Iniciar sesión con campos vacíos</t>
  </si>
  <si>
    <t>Iniciar sesión exitiso</t>
  </si>
  <si>
    <t>Iniciar sesión con credencial falsa</t>
  </si>
  <si>
    <t>Iniciar sesión con formato invalido</t>
  </si>
  <si>
    <t>Iniciar sesión con campos vacios</t>
  </si>
  <si>
    <t>Header</t>
  </si>
  <si>
    <t>Verificar barra de navegacion en proceso de pagos</t>
  </si>
  <si>
    <t>Verificar header</t>
  </si>
  <si>
    <t>Selección de articulos</t>
  </si>
  <si>
    <t>Buscar un producto</t>
  </si>
  <si>
    <t>Agregar producto al carrito, estando autenticado</t>
  </si>
  <si>
    <t>Agregar producto al carrito, sin autenticación</t>
  </si>
  <si>
    <t>Buscar producto</t>
  </si>
  <si>
    <t>Verificar despliegue del menú resumen</t>
  </si>
  <si>
    <t>Agregar al carrito autenticado</t>
  </si>
  <si>
    <t>Agregar al carrito desautenticado</t>
  </si>
  <si>
    <t>Verificar despliegue menu resumen</t>
  </si>
  <si>
    <t>Resumen de compra</t>
  </si>
  <si>
    <t>Verificar codigo de descuento</t>
  </si>
  <si>
    <t>Verificar descuento aplicado</t>
  </si>
  <si>
    <t>Verificar mensaje de descuento aplicado</t>
  </si>
  <si>
    <t>Verificar total de la compra</t>
  </si>
  <si>
    <t>Verificar dias habiles de entrega</t>
  </si>
  <si>
    <t>Resumen compra</t>
  </si>
  <si>
    <t>Verificar saldo a favor</t>
  </si>
  <si>
    <t>Resumen de envio</t>
  </si>
  <si>
    <t>Verificar metodo de envio</t>
  </si>
  <si>
    <t>Envio y facturacion diferentes</t>
  </si>
  <si>
    <t>Verificar dias referente a la ciudad destino</t>
  </si>
  <si>
    <t>Resumen de pago</t>
  </si>
  <si>
    <t>Editar correo</t>
  </si>
  <si>
    <t>Realizar pago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</si>
</sst>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color theme="1"/>
      <name val="Calibri"/>
      <family val="2"/>
      <scheme val="minor"/>
    </font>
    <font>
      <b/>
      <sz val="10"/>
      <color theme="1"/>
      <name val="Arial"/>
      <family val="2"/>
    </font>
  </fonts>
  <fills count="16">
    <fill>
      <patternFill patternType="none"/>
    </fill>
    <fill>
      <patternFill patternType="gray125"/>
    </fill>
    <fill>
      <patternFill patternType="solid">
        <fgColor theme="6"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D9E1F2"/>
        <bgColor indexed="64"/>
      </patternFill>
    </fill>
    <fill>
      <patternFill patternType="solid">
        <fgColor rgb="FFAEAAAA"/>
        <bgColor indexed="64"/>
      </patternFill>
    </fill>
    <fill>
      <patternFill patternType="solid">
        <fgColor rgb="FFA6A6A6"/>
        <bgColor indexed="64"/>
      </patternFill>
    </fill>
    <fill>
      <patternFill patternType="solid">
        <fgColor rgb="FF00B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538DD5"/>
        <bgColor indexed="64"/>
      </patternFill>
    </fill>
    <fill>
      <patternFill patternType="solid">
        <fgColor theme="6" tint="0.59999389629810485"/>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64">
    <xf numFmtId="0" fontId="0" fillId="0" borderId="0" xfId="0"/>
    <xf numFmtId="0" fontId="0" fillId="0" borderId="0" xfId="0" applyAlignment="1">
      <alignment horizontal="center" vertical="center"/>
    </xf>
    <xf numFmtId="9" fontId="0" fillId="0" borderId="0" xfId="0" applyNumberFormat="1"/>
    <xf numFmtId="9" fontId="0" fillId="0" borderId="0" xfId="1" applyFont="1"/>
    <xf numFmtId="0" fontId="0" fillId="4" borderId="0" xfId="0" applyFill="1" applyAlignment="1">
      <alignment horizontal="center" vertical="center"/>
    </xf>
    <xf numFmtId="0" fontId="0" fillId="4" borderId="0" xfId="0" applyFill="1" applyAlignment="1">
      <alignment vertical="center"/>
    </xf>
    <xf numFmtId="0" fontId="0" fillId="6" borderId="0" xfId="0" applyFill="1"/>
    <xf numFmtId="9" fontId="0" fillId="6" borderId="0" xfId="0" applyNumberFormat="1" applyFill="1" applyAlignment="1">
      <alignment horizontal="center" vertical="center"/>
    </xf>
    <xf numFmtId="0" fontId="0" fillId="6" borderId="0" xfId="0" applyFill="1" applyAlignment="1">
      <alignment horizontal="center" vertical="center"/>
    </xf>
    <xf numFmtId="0" fontId="0" fillId="0" borderId="2" xfId="0" applyBorder="1"/>
    <xf numFmtId="9" fontId="0" fillId="0" borderId="2" xfId="0" applyNumberFormat="1" applyBorder="1"/>
    <xf numFmtId="0" fontId="0" fillId="0" borderId="0" xfId="0" applyAlignment="1">
      <alignment vertical="center" wrapText="1"/>
    </xf>
    <xf numFmtId="14" fontId="0" fillId="0" borderId="0" xfId="0" applyNumberFormat="1" applyAlignment="1">
      <alignment horizontal="center" vertical="center"/>
    </xf>
    <xf numFmtId="0" fontId="0" fillId="7" borderId="0" xfId="0" applyFill="1" applyAlignment="1">
      <alignment vertical="center"/>
    </xf>
    <xf numFmtId="0" fontId="0" fillId="7" borderId="0" xfId="0" applyFill="1"/>
    <xf numFmtId="0" fontId="0" fillId="0" borderId="0" xfId="0" applyAlignment="1">
      <alignment horizontal="left" vertical="center"/>
    </xf>
    <xf numFmtId="0" fontId="0" fillId="0" borderId="0" xfId="0" applyAlignment="1">
      <alignment horizontal="left" vertical="center" wrapText="1"/>
    </xf>
    <xf numFmtId="0" fontId="0" fillId="0" borderId="1" xfId="0" applyBorder="1" applyAlignment="1">
      <alignment horizontal="center" vertical="center"/>
    </xf>
    <xf numFmtId="0" fontId="0" fillId="0" borderId="1" xfId="0" applyBorder="1"/>
    <xf numFmtId="9" fontId="0" fillId="0" borderId="1" xfId="0" applyNumberFormat="1" applyBorder="1" applyAlignment="1">
      <alignment horizontal="center" vertical="center"/>
    </xf>
    <xf numFmtId="14" fontId="0" fillId="0" borderId="0" xfId="0" applyNumberFormat="1"/>
    <xf numFmtId="0" fontId="0" fillId="0" borderId="0" xfId="0" applyAlignment="1">
      <alignment horizontal="center"/>
    </xf>
    <xf numFmtId="0" fontId="0" fillId="8" borderId="0" xfId="0" applyFill="1"/>
    <xf numFmtId="0" fontId="0" fillId="9" borderId="0" xfId="0" applyFill="1"/>
    <xf numFmtId="0" fontId="0" fillId="10" borderId="1" xfId="0" applyFill="1" applyBorder="1" applyAlignment="1">
      <alignment horizontal="center"/>
    </xf>
    <xf numFmtId="0" fontId="0" fillId="10" borderId="1" xfId="0" applyFill="1" applyBorder="1" applyAlignment="1">
      <alignment horizontal="center" vertical="center"/>
    </xf>
    <xf numFmtId="0" fontId="0" fillId="0" borderId="3" xfId="0" applyBorder="1" applyAlignment="1">
      <alignment horizontal="center" vertical="center"/>
    </xf>
    <xf numFmtId="0" fontId="0" fillId="12"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horizontal="center" vertical="center"/>
    </xf>
    <xf numFmtId="0" fontId="0" fillId="12" borderId="1" xfId="0" applyFill="1" applyBorder="1" applyAlignment="1">
      <alignment horizontal="center" vertical="center" wrapText="1"/>
    </xf>
    <xf numFmtId="0" fontId="0" fillId="10" borderId="1" xfId="0" applyFill="1" applyBorder="1" applyAlignment="1">
      <alignment horizontal="center" vertical="center"/>
    </xf>
    <xf numFmtId="0" fontId="1" fillId="0" borderId="6"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horizontal="center" vertical="center"/>
    </xf>
    <xf numFmtId="9" fontId="0" fillId="14" borderId="1" xfId="0" applyNumberFormat="1" applyFill="1" applyBorder="1" applyAlignment="1">
      <alignment horizontal="center" vertical="center"/>
    </xf>
    <xf numFmtId="9" fontId="0" fillId="15" borderId="1" xfId="0" applyNumberFormat="1" applyFill="1" applyBorder="1" applyAlignment="1">
      <alignment horizontal="center" vertical="center"/>
    </xf>
    <xf numFmtId="0" fontId="0" fillId="15" borderId="1" xfId="0" applyFill="1" applyBorder="1" applyAlignment="1">
      <alignment horizontal="center" vertical="center" wrapText="1"/>
    </xf>
    <xf numFmtId="0" fontId="3" fillId="15" borderId="1" xfId="0" applyFont="1" applyFill="1" applyBorder="1" applyAlignment="1">
      <alignment horizontal="center" vertical="center"/>
    </xf>
    <xf numFmtId="0" fontId="3" fillId="15" borderId="1" xfId="0" applyFont="1" applyFill="1" applyBorder="1" applyAlignment="1">
      <alignment vertical="center"/>
    </xf>
    <xf numFmtId="9" fontId="0" fillId="15" borderId="7" xfId="0" applyNumberFormat="1" applyFill="1" applyBorder="1" applyAlignment="1">
      <alignment horizontal="center" vertical="center"/>
    </xf>
    <xf numFmtId="9" fontId="0" fillId="0" borderId="7" xfId="0" applyNumberForma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5" xfId="0" applyFont="1" applyFill="1" applyBorder="1" applyAlignment="1">
      <alignment horizontal="center" vertical="center"/>
    </xf>
    <xf numFmtId="0" fontId="3" fillId="15" borderId="6" xfId="0" applyFont="1" applyFill="1" applyBorder="1" applyAlignment="1">
      <alignment horizontal="center" vertical="center"/>
    </xf>
    <xf numFmtId="0" fontId="3" fillId="15" borderId="7" xfId="0" applyFont="1" applyFill="1" applyBorder="1" applyAlignment="1">
      <alignment horizontal="center" vertical="center"/>
    </xf>
    <xf numFmtId="0" fontId="3" fillId="15" borderId="8" xfId="0" applyFont="1" applyFill="1" applyBorder="1" applyAlignment="1">
      <alignment horizontal="center" vertical="center"/>
    </xf>
    <xf numFmtId="0" fontId="3" fillId="0" borderId="0"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6" xfId="0" applyFont="1" applyFill="1" applyBorder="1" applyAlignment="1">
      <alignment horizontal="center" vertical="center"/>
    </xf>
    <xf numFmtId="0" fontId="1" fillId="0" borderId="7" xfId="0" applyFont="1" applyFill="1" applyBorder="1" applyAlignment="1">
      <alignment horizontal="center" vertical="center"/>
    </xf>
    <xf numFmtId="0" fontId="1" fillId="0" borderId="4" xfId="0" applyFont="1" applyFill="1" applyBorder="1" applyAlignment="1">
      <alignment horizontal="center" vertical="center"/>
    </xf>
    <xf numFmtId="0" fontId="0" fillId="3" borderId="1" xfId="0" applyFill="1" applyBorder="1" applyAlignment="1">
      <alignment horizontal="center" vertical="center"/>
    </xf>
    <xf numFmtId="0" fontId="0" fillId="11" borderId="1" xfId="0" applyFill="1" applyBorder="1" applyAlignment="1">
      <alignment horizontal="center" vertical="center"/>
    </xf>
    <xf numFmtId="0" fontId="0" fillId="10" borderId="6" xfId="0" applyFill="1" applyBorder="1" applyAlignment="1">
      <alignment horizontal="center" vertical="center"/>
    </xf>
    <xf numFmtId="0" fontId="0" fillId="10" borderId="8" xfId="0" applyFill="1" applyBorder="1" applyAlignment="1">
      <alignment horizontal="center" vertical="center"/>
    </xf>
    <xf numFmtId="0" fontId="0" fillId="10" borderId="1" xfId="0" applyFill="1" applyBorder="1" applyAlignment="1">
      <alignment horizontal="center" vertical="center"/>
    </xf>
    <xf numFmtId="0" fontId="1" fillId="0" borderId="9" xfId="0" applyFont="1" applyFill="1" applyBorder="1" applyAlignment="1">
      <alignment horizontal="center" vertical="center"/>
    </xf>
    <xf numFmtId="0" fontId="0" fillId="2" borderId="1" xfId="0" applyFill="1" applyBorder="1" applyAlignment="1">
      <alignment horizontal="center" vertical="center"/>
    </xf>
    <xf numFmtId="0" fontId="0" fillId="13" borderId="1" xfId="0" applyFill="1" applyBorder="1" applyAlignment="1">
      <alignment horizontal="center" vertical="center"/>
    </xf>
    <xf numFmtId="0" fontId="0" fillId="0" borderId="1" xfId="0" applyBorder="1" applyAlignment="1">
      <alignment horizontal="center"/>
    </xf>
    <xf numFmtId="0" fontId="1" fillId="5" borderId="0" xfId="0" applyFont="1" applyFill="1" applyAlignment="1">
      <alignment horizontal="center" vertical="center" wrapText="1"/>
    </xf>
    <xf numFmtId="0" fontId="0" fillId="0" borderId="0" xfId="0" applyAlignment="1">
      <alignment horizontal="center" vertical="center"/>
    </xf>
  </cellXfs>
  <cellStyles count="2">
    <cellStyle name="Normal" xfId="0" builtinId="0"/>
    <cellStyle name="Porcentaje" xfId="1" builtinId="5"/>
  </cellStyles>
  <dxfs count="0"/>
  <tableStyles count="0" defaultTableStyle="TableStyleMedium2" defaultPivotStyle="PivotStyleLight16"/>
  <colors>
    <mruColors>
      <color rgb="FF8DB4E2"/>
      <color rgb="FF538D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Escenarios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Hoja1!$A$1:$C$1</c:f>
              <c:strCache>
                <c:ptCount val="3"/>
                <c:pt idx="0">
                  <c:v>Total de Escenarios</c:v>
                </c:pt>
                <c:pt idx="1">
                  <c:v>Total de Escenarios Automatizados</c:v>
                </c:pt>
                <c:pt idx="2">
                  <c:v>Escenarios pendinetes</c:v>
                </c:pt>
              </c:strCache>
            </c:strRef>
          </c:cat>
          <c:val>
            <c:numRef>
              <c:f>Hoja1!$A$2:$C$2</c:f>
              <c:numCache>
                <c:formatCode>General</c:formatCode>
                <c:ptCount val="3"/>
                <c:pt idx="0">
                  <c:v>34</c:v>
                </c:pt>
                <c:pt idx="1">
                  <c:v>24</c:v>
                </c:pt>
                <c:pt idx="2">
                  <c:v>10</c:v>
                </c:pt>
              </c:numCache>
            </c:numRef>
          </c:val>
          <c:extLst>
            <c:ext xmlns:c16="http://schemas.microsoft.com/office/drawing/2014/chart" uri="{C3380CC4-5D6E-409C-BE32-E72D297353CC}">
              <c16:uniqueId val="{00000000-85C8-184E-BCC9-0352F1B0BAB8}"/>
            </c:ext>
          </c:extLst>
        </c:ser>
        <c:dLbls>
          <c:dLblPos val="outEnd"/>
          <c:showLegendKey val="0"/>
          <c:showVal val="1"/>
          <c:showCatName val="0"/>
          <c:showSerName val="0"/>
          <c:showPercent val="0"/>
          <c:showBubbleSize val="0"/>
        </c:dLbls>
        <c:gapWidth val="219"/>
        <c:overlap val="-27"/>
        <c:axId val="1268743231"/>
        <c:axId val="1953372799"/>
      </c:barChart>
      <c:catAx>
        <c:axId val="1268743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53372799"/>
        <c:crosses val="autoZero"/>
        <c:auto val="1"/>
        <c:lblAlgn val="ctr"/>
        <c:lblOffset val="100"/>
        <c:noMultiLvlLbl val="0"/>
      </c:catAx>
      <c:valAx>
        <c:axId val="19533727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687432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latin typeface="+mn-lt"/>
                <a:ea typeface="+mn-ea"/>
                <a:cs typeface="+mn-cs"/>
              </a:rPr>
              <a:t>Avance Automatización Cuenta de Ahorros</a:t>
            </a:r>
          </a:p>
        </c:rich>
      </c:tx>
      <c:overlay val="0"/>
      <c:spPr>
        <a:noFill/>
        <a:ln>
          <a:noFill/>
        </a:ln>
        <a:effectLst/>
      </c:spPr>
    </c:title>
    <c:autoTitleDeleted val="0"/>
    <c:plotArea>
      <c:layout/>
      <c:barChart>
        <c:barDir val="col"/>
        <c:grouping val="clustered"/>
        <c:varyColors val="0"/>
        <c:ser>
          <c:idx val="0"/>
          <c:order val="0"/>
          <c:tx>
            <c:strRef>
              <c:f>'Resumen Total Movil'!$C$1</c:f>
              <c:strCache>
                <c:ptCount val="1"/>
                <c:pt idx="0">
                  <c:v>Avance Modelo Negocio</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Movil'!$C$2:$C$5</c:f>
              <c:numCache>
                <c:formatCode>0%</c:formatCode>
                <c:ptCount val="4"/>
                <c:pt idx="0">
                  <c:v>1</c:v>
                </c:pt>
                <c:pt idx="1">
                  <c:v>1</c:v>
                </c:pt>
                <c:pt idx="2">
                  <c:v>1</c:v>
                </c:pt>
                <c:pt idx="3">
                  <c:v>1</c:v>
                </c:pt>
              </c:numCache>
            </c:numRef>
          </c:val>
          <c:extLst>
            <c:ext xmlns:c16="http://schemas.microsoft.com/office/drawing/2014/chart" uri="{C3380CC4-5D6E-409C-BE32-E72D297353CC}">
              <c16:uniqueId val="{00000001-0E42-427A-9B84-09E8E2E319AE}"/>
            </c:ext>
          </c:extLst>
        </c:ser>
        <c:ser>
          <c:idx val="1"/>
          <c:order val="1"/>
          <c:tx>
            <c:strRef>
              <c:f>'Resumen Total Movil'!$D$1</c:f>
              <c:strCache>
                <c:ptCount val="1"/>
                <c:pt idx="0">
                  <c:v>Avance Modelo Tecnico</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Movil'!$D$2:$D$5</c:f>
              <c:numCache>
                <c:formatCode>0%</c:formatCode>
                <c:ptCount val="4"/>
                <c:pt idx="0">
                  <c:v>1</c:v>
                </c:pt>
                <c:pt idx="1">
                  <c:v>1</c:v>
                </c:pt>
                <c:pt idx="2">
                  <c:v>1</c:v>
                </c:pt>
                <c:pt idx="3">
                  <c:v>1</c:v>
                </c:pt>
              </c:numCache>
            </c:numRef>
          </c:val>
          <c:extLst>
            <c:ext xmlns:c16="http://schemas.microsoft.com/office/drawing/2014/chart" uri="{C3380CC4-5D6E-409C-BE32-E72D297353CC}">
              <c16:uniqueId val="{00000003-0E42-427A-9B84-09E8E2E319AE}"/>
            </c:ext>
          </c:extLst>
        </c:ser>
        <c:ser>
          <c:idx val="2"/>
          <c:order val="2"/>
          <c:tx>
            <c:strRef>
              <c:f>'Resumen Total Movil'!$E$1</c:f>
              <c:strCache>
                <c:ptCount val="1"/>
                <c:pt idx="0">
                  <c:v>Avance Automatización Temprana</c:v>
                </c:pt>
              </c:strCache>
            </c:strRef>
          </c:tx>
          <c:spPr>
            <a:solidFill>
              <a:schemeClr val="accent3"/>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Movil'!$E$2:$E$5</c:f>
              <c:numCache>
                <c:formatCode>0%</c:formatCode>
                <c:ptCount val="4"/>
                <c:pt idx="0">
                  <c:v>1</c:v>
                </c:pt>
                <c:pt idx="1">
                  <c:v>1</c:v>
                </c:pt>
                <c:pt idx="2">
                  <c:v>1</c:v>
                </c:pt>
                <c:pt idx="3">
                  <c:v>1</c:v>
                </c:pt>
              </c:numCache>
            </c:numRef>
          </c:val>
          <c:extLst>
            <c:ext xmlns:c16="http://schemas.microsoft.com/office/drawing/2014/chart" uri="{C3380CC4-5D6E-409C-BE32-E72D297353CC}">
              <c16:uniqueId val="{00000005-0E42-427A-9B84-09E8E2E319AE}"/>
            </c:ext>
          </c:extLst>
        </c:ser>
        <c:ser>
          <c:idx val="3"/>
          <c:order val="3"/>
          <c:tx>
            <c:strRef>
              <c:f>'Resumen Total Movil'!$F$1</c:f>
              <c:strCache>
                <c:ptCount val="1"/>
                <c:pt idx="0">
                  <c:v>Avance Estructura Técnica</c:v>
                </c:pt>
              </c:strCache>
            </c:strRef>
          </c:tx>
          <c:spPr>
            <a:solidFill>
              <a:schemeClr val="accent4"/>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Movil'!$F$2:$F$5</c:f>
              <c:numCache>
                <c:formatCode>0%</c:formatCode>
                <c:ptCount val="4"/>
                <c:pt idx="0">
                  <c:v>1</c:v>
                </c:pt>
                <c:pt idx="1">
                  <c:v>0.77619047619047621</c:v>
                </c:pt>
                <c:pt idx="2">
                  <c:v>0</c:v>
                </c:pt>
                <c:pt idx="3">
                  <c:v>0</c:v>
                </c:pt>
              </c:numCache>
            </c:numRef>
          </c:val>
          <c:extLst>
            <c:ext xmlns:c16="http://schemas.microsoft.com/office/drawing/2014/chart" uri="{C3380CC4-5D6E-409C-BE32-E72D297353CC}">
              <c16:uniqueId val="{00000007-0E42-427A-9B84-09E8E2E319AE}"/>
            </c:ext>
          </c:extLst>
        </c:ser>
        <c:dLbls>
          <c:dLblPos val="outEnd"/>
          <c:showLegendKey val="0"/>
          <c:showVal val="1"/>
          <c:showCatName val="0"/>
          <c:showSerName val="0"/>
          <c:showPercent val="0"/>
          <c:showBubbleSize val="0"/>
        </c:dLbls>
        <c:gapWidth val="219"/>
        <c:axId val="216823808"/>
        <c:axId val="166908416"/>
      </c:barChart>
      <c:catAx>
        <c:axId val="21682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6908416"/>
        <c:crosses val="autoZero"/>
        <c:auto val="1"/>
        <c:lblAlgn val="ctr"/>
        <c:lblOffset val="100"/>
        <c:noMultiLvlLbl val="0"/>
      </c:catAx>
      <c:valAx>
        <c:axId val="166908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16823808"/>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vert="horz"/>
          <a:lstStyle/>
          <a:p>
            <a:pPr>
              <a:defRPr/>
            </a:pPr>
            <a:r>
              <a:rPr lang="en-US"/>
              <a:t>Avance Total Automatización Cuenta de Ahorros</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tx>
            <c:strRef>
              <c:f>'Resumen Total Movil'!$B$2:$B$6</c:f>
              <c:strCache>
                <c:ptCount val="5"/>
                <c:pt idx="0">
                  <c:v>Android</c:v>
                </c:pt>
                <c:pt idx="1">
                  <c:v>IOS</c:v>
                </c:pt>
                <c:pt idx="2">
                  <c:v>Tablet</c:v>
                </c:pt>
                <c:pt idx="3">
                  <c:v>Web</c:v>
                </c:pt>
                <c:pt idx="4">
                  <c:v>Total</c:v>
                </c:pt>
              </c:strCache>
            </c:strRef>
          </c:tx>
          <c:invertIfNegative val="0"/>
          <c:dPt>
            <c:idx val="0"/>
            <c:invertIfNegative val="0"/>
            <c:bubble3D val="0"/>
            <c:spPr>
              <a:solidFill>
                <a:schemeClr val="tx2">
                  <a:lumMod val="60000"/>
                  <a:lumOff val="40000"/>
                </a:schemeClr>
              </a:solidFill>
            </c:spPr>
            <c:extLst>
              <c:ext xmlns:c16="http://schemas.microsoft.com/office/drawing/2014/chart" uri="{C3380CC4-5D6E-409C-BE32-E72D297353CC}">
                <c16:uniqueId val="{00000001-F8E8-4A65-A6A3-04195115116D}"/>
              </c:ext>
            </c:extLst>
          </c:dPt>
          <c:dPt>
            <c:idx val="1"/>
            <c:invertIfNegative val="0"/>
            <c:bubble3D val="0"/>
            <c:spPr>
              <a:solidFill>
                <a:schemeClr val="accent6">
                  <a:lumMod val="75000"/>
                </a:schemeClr>
              </a:solidFill>
            </c:spPr>
            <c:extLst>
              <c:ext xmlns:c16="http://schemas.microsoft.com/office/drawing/2014/chart" uri="{C3380CC4-5D6E-409C-BE32-E72D297353CC}">
                <c16:uniqueId val="{00000003-F8E8-4A65-A6A3-04195115116D}"/>
              </c:ext>
            </c:extLst>
          </c:dPt>
          <c:dPt>
            <c:idx val="3"/>
            <c:invertIfNegative val="0"/>
            <c:bubble3D val="0"/>
            <c:spPr>
              <a:solidFill>
                <a:schemeClr val="accent2">
                  <a:lumMod val="75000"/>
                </a:schemeClr>
              </a:solidFill>
            </c:spPr>
            <c:extLst>
              <c:ext xmlns:c16="http://schemas.microsoft.com/office/drawing/2014/chart" uri="{C3380CC4-5D6E-409C-BE32-E72D297353CC}">
                <c16:uniqueId val="{00000005-25CF-4DE6-8F86-8F4185C7220E}"/>
              </c:ext>
            </c:extLst>
          </c:dPt>
          <c:dPt>
            <c:idx val="4"/>
            <c:invertIfNegative val="0"/>
            <c:bubble3D val="0"/>
            <c:spPr>
              <a:solidFill>
                <a:schemeClr val="accent3">
                  <a:lumMod val="75000"/>
                </a:schemeClr>
              </a:solidFill>
            </c:spPr>
            <c:extLst>
              <c:ext xmlns:c16="http://schemas.microsoft.com/office/drawing/2014/chart" uri="{C3380CC4-5D6E-409C-BE32-E72D297353CC}">
                <c16:uniqueId val="{00000005-F8E8-4A65-A6A3-04195115116D}"/>
              </c:ext>
            </c:extLst>
          </c:dPt>
          <c:dLbls>
            <c:spPr>
              <a:no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Movil'!$B$2:$B$6</c:f>
              <c:strCache>
                <c:ptCount val="5"/>
                <c:pt idx="0">
                  <c:v>Android</c:v>
                </c:pt>
                <c:pt idx="1">
                  <c:v>IOS</c:v>
                </c:pt>
                <c:pt idx="2">
                  <c:v>Tablet</c:v>
                </c:pt>
                <c:pt idx="3">
                  <c:v>Web</c:v>
                </c:pt>
                <c:pt idx="4">
                  <c:v>Total</c:v>
                </c:pt>
              </c:strCache>
            </c:strRef>
          </c:cat>
          <c:val>
            <c:numRef>
              <c:f>'Resumen Total Movil'!$G$2:$G$6</c:f>
              <c:numCache>
                <c:formatCode>0%</c:formatCode>
                <c:ptCount val="5"/>
                <c:pt idx="0">
                  <c:v>1</c:v>
                </c:pt>
                <c:pt idx="1">
                  <c:v>0.88809523809523805</c:v>
                </c:pt>
                <c:pt idx="2">
                  <c:v>0</c:v>
                </c:pt>
                <c:pt idx="3">
                  <c:v>0</c:v>
                </c:pt>
                <c:pt idx="4">
                  <c:v>0</c:v>
                </c:pt>
              </c:numCache>
            </c:numRef>
          </c:val>
          <c:extLst>
            <c:ext xmlns:c16="http://schemas.microsoft.com/office/drawing/2014/chart" uri="{C3380CC4-5D6E-409C-BE32-E72D297353CC}">
              <c16:uniqueId val="{00000001-2DD5-4DFC-80BF-5B7171EF11AD}"/>
            </c:ext>
          </c:extLst>
        </c:ser>
        <c:dLbls>
          <c:showLegendKey val="0"/>
          <c:showVal val="1"/>
          <c:showCatName val="0"/>
          <c:showSerName val="0"/>
          <c:showPercent val="0"/>
          <c:showBubbleSize val="0"/>
        </c:dLbls>
        <c:gapWidth val="219"/>
        <c:shape val="cylinder"/>
        <c:axId val="217632768"/>
        <c:axId val="166910720"/>
        <c:axId val="0"/>
      </c:bar3DChart>
      <c:catAx>
        <c:axId val="217632768"/>
        <c:scaling>
          <c:orientation val="minMax"/>
        </c:scaling>
        <c:delete val="0"/>
        <c:axPos val="b"/>
        <c:numFmt formatCode="General" sourceLinked="1"/>
        <c:majorTickMark val="none"/>
        <c:minorTickMark val="none"/>
        <c:tickLblPos val="nextTo"/>
        <c:txPr>
          <a:bodyPr rot="-60000000" vert="horz"/>
          <a:lstStyle/>
          <a:p>
            <a:pPr>
              <a:defRPr/>
            </a:pPr>
            <a:endParaRPr lang="es-CO"/>
          </a:p>
        </c:txPr>
        <c:crossAx val="166910720"/>
        <c:crosses val="autoZero"/>
        <c:auto val="1"/>
        <c:lblAlgn val="ctr"/>
        <c:lblOffset val="100"/>
        <c:noMultiLvlLbl val="0"/>
      </c:catAx>
      <c:valAx>
        <c:axId val="166910720"/>
        <c:scaling>
          <c:orientation val="minMax"/>
          <c:max val="1"/>
        </c:scaling>
        <c:delete val="0"/>
        <c:axPos val="l"/>
        <c:numFmt formatCode="0%" sourceLinked="0"/>
        <c:majorTickMark val="none"/>
        <c:minorTickMark val="none"/>
        <c:tickLblPos val="nextTo"/>
        <c:txPr>
          <a:bodyPr rot="-60000000" vert="horz"/>
          <a:lstStyle/>
          <a:p>
            <a:pPr>
              <a:defRPr/>
            </a:pPr>
            <a:endParaRPr lang="es-CO"/>
          </a:p>
        </c:txPr>
        <c:crossAx val="217632768"/>
        <c:crosses val="autoZero"/>
        <c:crossBetween val="between"/>
        <c:majorUnit val="0.2"/>
      </c:valAx>
    </c:plotArea>
    <c:legend>
      <c:legendPos val="r"/>
      <c:overlay val="0"/>
      <c:txPr>
        <a:bodyPr rot="0" vert="horz"/>
        <a:lstStyle/>
        <a:p>
          <a:pPr>
            <a:defRPr/>
          </a:pPr>
          <a:endParaRPr lang="es-CO"/>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Resumen Flujos Automatizados Cuenta de Ahorros en Dispositivos Móviles</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dPt>
            <c:idx val="0"/>
            <c:invertIfNegative val="0"/>
            <c:bubble3D val="0"/>
            <c:spPr>
              <a:solidFill>
                <a:schemeClr val="accent2">
                  <a:lumMod val="60000"/>
                  <a:lumOff val="40000"/>
                </a:schemeClr>
              </a:solidFill>
            </c:spPr>
            <c:extLst>
              <c:ext xmlns:c16="http://schemas.microsoft.com/office/drawing/2014/chart" uri="{C3380CC4-5D6E-409C-BE32-E72D297353CC}">
                <c16:uniqueId val="{00000001-F907-46F2-AC8E-C7E1D1CC4DDE}"/>
              </c:ext>
            </c:extLst>
          </c:dPt>
          <c:dPt>
            <c:idx val="1"/>
            <c:invertIfNegative val="0"/>
            <c:bubble3D val="0"/>
            <c:spPr>
              <a:solidFill>
                <a:schemeClr val="accent3">
                  <a:lumMod val="60000"/>
                  <a:lumOff val="40000"/>
                </a:schemeClr>
              </a:solidFill>
            </c:spPr>
            <c:extLst>
              <c:ext xmlns:c16="http://schemas.microsoft.com/office/drawing/2014/chart" uri="{C3380CC4-5D6E-409C-BE32-E72D297353CC}">
                <c16:uniqueId val="{00000003-F907-46F2-AC8E-C7E1D1CC4DDE}"/>
              </c:ext>
            </c:extLst>
          </c:dPt>
          <c:dPt>
            <c:idx val="2"/>
            <c:invertIfNegative val="0"/>
            <c:bubble3D val="0"/>
            <c:spPr>
              <a:solidFill>
                <a:schemeClr val="tx2">
                  <a:lumMod val="60000"/>
                  <a:lumOff val="40000"/>
                </a:schemeClr>
              </a:solidFill>
            </c:spPr>
            <c:extLst>
              <c:ext xmlns:c16="http://schemas.microsoft.com/office/drawing/2014/chart" uri="{C3380CC4-5D6E-409C-BE32-E72D297353CC}">
                <c16:uniqueId val="{00000005-F907-46F2-AC8E-C7E1D1CC4DD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Movil'!$J$2:$L$2</c:f>
              <c:strCache>
                <c:ptCount val="3"/>
                <c:pt idx="0">
                  <c:v>Flujos Negativos</c:v>
                </c:pt>
                <c:pt idx="1">
                  <c:v>Flujos Alternos</c:v>
                </c:pt>
                <c:pt idx="2">
                  <c:v>Flujos Funcionales</c:v>
                </c:pt>
              </c:strCache>
            </c:strRef>
          </c:cat>
          <c:val>
            <c:numRef>
              <c:f>'Resumen Total Movil'!$J$3:$L$3</c:f>
              <c:numCache>
                <c:formatCode>0%</c:formatCode>
                <c:ptCount val="3"/>
                <c:pt idx="0">
                  <c:v>0</c:v>
                </c:pt>
                <c:pt idx="1">
                  <c:v>0</c:v>
                </c:pt>
                <c:pt idx="2">
                  <c:v>0</c:v>
                </c:pt>
              </c:numCache>
            </c:numRef>
          </c:val>
          <c:extLst>
            <c:ext xmlns:c16="http://schemas.microsoft.com/office/drawing/2014/chart" uri="{C3380CC4-5D6E-409C-BE32-E72D297353CC}">
              <c16:uniqueId val="{00000006-F907-46F2-AC8E-C7E1D1CC4DDE}"/>
            </c:ext>
          </c:extLst>
        </c:ser>
        <c:dLbls>
          <c:showLegendKey val="0"/>
          <c:showVal val="1"/>
          <c:showCatName val="0"/>
          <c:showSerName val="0"/>
          <c:showPercent val="0"/>
          <c:showBubbleSize val="0"/>
        </c:dLbls>
        <c:gapWidth val="75"/>
        <c:shape val="cylinder"/>
        <c:axId val="217634304"/>
        <c:axId val="217514560"/>
        <c:axId val="0"/>
      </c:bar3DChart>
      <c:catAx>
        <c:axId val="217634304"/>
        <c:scaling>
          <c:orientation val="minMax"/>
        </c:scaling>
        <c:delete val="0"/>
        <c:axPos val="b"/>
        <c:numFmt formatCode="General" sourceLinked="0"/>
        <c:majorTickMark val="none"/>
        <c:minorTickMark val="none"/>
        <c:tickLblPos val="nextTo"/>
        <c:crossAx val="217514560"/>
        <c:crosses val="autoZero"/>
        <c:auto val="1"/>
        <c:lblAlgn val="ctr"/>
        <c:lblOffset val="100"/>
        <c:noMultiLvlLbl val="0"/>
      </c:catAx>
      <c:valAx>
        <c:axId val="217514560"/>
        <c:scaling>
          <c:orientation val="minMax"/>
          <c:max val="1"/>
          <c:min val="0"/>
        </c:scaling>
        <c:delete val="0"/>
        <c:axPos val="l"/>
        <c:numFmt formatCode="0%" sourceLinked="1"/>
        <c:majorTickMark val="none"/>
        <c:minorTickMark val="none"/>
        <c:tickLblPos val="nextTo"/>
        <c:crossAx val="21763430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a:pPr>
            <a:r>
              <a:rPr lang="en-US"/>
              <a:t>Resumen Total de Flujos Automatizados Cuenta de Ahorros</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'Resumen Total Movil'!$J$6:$L$6</c:f>
              <c:strCache>
                <c:ptCount val="3"/>
                <c:pt idx="0">
                  <c:v>Flujos Negativos</c:v>
                </c:pt>
                <c:pt idx="1">
                  <c:v>Flujos Alternos</c:v>
                </c:pt>
                <c:pt idx="2">
                  <c:v>Flujos Funcionales</c:v>
                </c:pt>
              </c:strCache>
            </c:strRef>
          </c:tx>
          <c:invertIfNegative val="0"/>
          <c:dPt>
            <c:idx val="0"/>
            <c:invertIfNegative val="0"/>
            <c:bubble3D val="0"/>
            <c:extLst>
              <c:ext xmlns:c16="http://schemas.microsoft.com/office/drawing/2014/chart" uri="{C3380CC4-5D6E-409C-BE32-E72D297353CC}">
                <c16:uniqueId val="{00000000-DEBA-4221-8991-37FB32EFA0D1}"/>
              </c:ext>
            </c:extLst>
          </c:dPt>
          <c:dPt>
            <c:idx val="1"/>
            <c:invertIfNegative val="0"/>
            <c:bubble3D val="0"/>
            <c:extLst>
              <c:ext xmlns:c16="http://schemas.microsoft.com/office/drawing/2014/chart" uri="{C3380CC4-5D6E-409C-BE32-E72D297353CC}">
                <c16:uniqueId val="{00000001-DEBA-4221-8991-37FB32EFA0D1}"/>
              </c:ext>
            </c:extLst>
          </c:dPt>
          <c:dPt>
            <c:idx val="2"/>
            <c:invertIfNegative val="0"/>
            <c:bubble3D val="0"/>
            <c:extLst>
              <c:ext xmlns:c16="http://schemas.microsoft.com/office/drawing/2014/chart" uri="{C3380CC4-5D6E-409C-BE32-E72D297353CC}">
                <c16:uniqueId val="{00000002-DEBA-4221-8991-37FB32EFA0D1}"/>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Movil'!$J$2:$L$2</c:f>
              <c:strCache>
                <c:ptCount val="3"/>
                <c:pt idx="0">
                  <c:v>Flujos Negativos</c:v>
                </c:pt>
                <c:pt idx="1">
                  <c:v>Flujos Alternos</c:v>
                </c:pt>
                <c:pt idx="2">
                  <c:v>Flujos Funcionales</c:v>
                </c:pt>
              </c:strCache>
            </c:strRef>
          </c:cat>
          <c:val>
            <c:numRef>
              <c:f>'Resumen Total Movil'!$J$7:$L$7</c:f>
              <c:numCache>
                <c:formatCode>0%</c:formatCode>
                <c:ptCount val="3"/>
                <c:pt idx="0">
                  <c:v>0</c:v>
                </c:pt>
                <c:pt idx="1">
                  <c:v>0</c:v>
                </c:pt>
                <c:pt idx="2">
                  <c:v>0</c:v>
                </c:pt>
              </c:numCache>
            </c:numRef>
          </c:val>
          <c:extLst>
            <c:ext xmlns:c16="http://schemas.microsoft.com/office/drawing/2014/chart" uri="{C3380CC4-5D6E-409C-BE32-E72D297353CC}">
              <c16:uniqueId val="{00000003-DEBA-4221-8991-37FB32EFA0D1}"/>
            </c:ext>
          </c:extLst>
        </c:ser>
        <c:dLbls>
          <c:showLegendKey val="0"/>
          <c:showVal val="1"/>
          <c:showCatName val="0"/>
          <c:showSerName val="0"/>
          <c:showPercent val="0"/>
          <c:showBubbleSize val="0"/>
        </c:dLbls>
        <c:gapWidth val="75"/>
        <c:shape val="cylinder"/>
        <c:axId val="217636352"/>
        <c:axId val="217516288"/>
        <c:axId val="0"/>
      </c:bar3DChart>
      <c:catAx>
        <c:axId val="217636352"/>
        <c:scaling>
          <c:orientation val="minMax"/>
        </c:scaling>
        <c:delete val="0"/>
        <c:axPos val="b"/>
        <c:numFmt formatCode="General" sourceLinked="0"/>
        <c:majorTickMark val="none"/>
        <c:minorTickMark val="none"/>
        <c:tickLblPos val="nextTo"/>
        <c:crossAx val="217516288"/>
        <c:crosses val="autoZero"/>
        <c:auto val="1"/>
        <c:lblAlgn val="ctr"/>
        <c:lblOffset val="100"/>
        <c:noMultiLvlLbl val="0"/>
      </c:catAx>
      <c:valAx>
        <c:axId val="217516288"/>
        <c:scaling>
          <c:orientation val="minMax"/>
          <c:max val="1"/>
          <c:min val="0"/>
        </c:scaling>
        <c:delete val="0"/>
        <c:axPos val="l"/>
        <c:numFmt formatCode="0%" sourceLinked="1"/>
        <c:majorTickMark val="none"/>
        <c:minorTickMark val="none"/>
        <c:tickLblPos val="nextTo"/>
        <c:crossAx val="21763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a:lstStyle/>
          <a:p>
            <a:pPr>
              <a:defRPr/>
            </a:pPr>
            <a:r>
              <a:rPr lang="es-CO"/>
              <a:t>VISIÓN</a:t>
            </a:r>
            <a:r>
              <a:rPr lang="es-CO" baseline="0"/>
              <a:t> GENERAL FLUJOS AUTO CUENTA DE AHORROS</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invertIfNegative val="0"/>
          <c:dPt>
            <c:idx val="0"/>
            <c:invertIfNegative val="0"/>
            <c:bubble3D val="0"/>
            <c:spPr>
              <a:solidFill>
                <a:schemeClr val="tx2">
                  <a:lumMod val="60000"/>
                  <a:lumOff val="40000"/>
                </a:schemeClr>
              </a:solidFill>
            </c:spPr>
            <c:extLst>
              <c:ext xmlns:c16="http://schemas.microsoft.com/office/drawing/2014/chart" uri="{C3380CC4-5D6E-409C-BE32-E72D297353CC}">
                <c16:uniqueId val="{00000001-71EA-4735-B14B-237D145F3285}"/>
              </c:ext>
            </c:extLst>
          </c:dPt>
          <c:dPt>
            <c:idx val="1"/>
            <c:invertIfNegative val="0"/>
            <c:bubble3D val="0"/>
            <c:spPr>
              <a:solidFill>
                <a:schemeClr val="accent6">
                  <a:lumMod val="75000"/>
                </a:schemeClr>
              </a:solidFill>
            </c:spPr>
            <c:extLst>
              <c:ext xmlns:c16="http://schemas.microsoft.com/office/drawing/2014/chart" uri="{C3380CC4-5D6E-409C-BE32-E72D297353CC}">
                <c16:uniqueId val="{00000003-71EA-4735-B14B-237D145F3285}"/>
              </c:ext>
            </c:extLst>
          </c:dPt>
          <c:dPt>
            <c:idx val="3"/>
            <c:invertIfNegative val="0"/>
            <c:bubble3D val="0"/>
            <c:spPr>
              <a:solidFill>
                <a:schemeClr val="accent3">
                  <a:lumMod val="75000"/>
                </a:schemeClr>
              </a:solidFill>
            </c:spPr>
            <c:extLst>
              <c:ext xmlns:c16="http://schemas.microsoft.com/office/drawing/2014/chart" uri="{C3380CC4-5D6E-409C-BE32-E72D297353CC}">
                <c16:uniqueId val="{00000005-71EA-4735-B14B-237D145F3285}"/>
              </c:ext>
            </c:extLst>
          </c:dPt>
          <c:dPt>
            <c:idx val="4"/>
            <c:invertIfNegative val="0"/>
            <c:bubble3D val="0"/>
            <c:spPr>
              <a:solidFill>
                <a:schemeClr val="accent5">
                  <a:lumMod val="60000"/>
                  <a:lumOff val="40000"/>
                </a:schemeClr>
              </a:solidFill>
            </c:spPr>
            <c:extLst>
              <c:ext xmlns:c16="http://schemas.microsoft.com/office/drawing/2014/chart" uri="{C3380CC4-5D6E-409C-BE32-E72D297353CC}">
                <c16:uniqueId val="{00000007-71EA-4735-B14B-237D145F3285}"/>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Movil'!$C$1:$G$1</c:f>
              <c:strCache>
                <c:ptCount val="5"/>
                <c:pt idx="0">
                  <c:v>Avance Modelo Negocio</c:v>
                </c:pt>
                <c:pt idx="1">
                  <c:v>Avance Modelo Tecnico</c:v>
                </c:pt>
                <c:pt idx="2">
                  <c:v>Avance Automatización Temprana</c:v>
                </c:pt>
                <c:pt idx="3">
                  <c:v>Avance Estructura Técnica</c:v>
                </c:pt>
                <c:pt idx="4">
                  <c:v>Avance Total</c:v>
                </c:pt>
              </c:strCache>
            </c:strRef>
          </c:cat>
          <c:val>
            <c:numRef>
              <c:f>'Resumen Total Movil'!$C$6:$G$6</c:f>
              <c:numCache>
                <c:formatCode>0%</c:formatCode>
                <c:ptCount val="5"/>
                <c:pt idx="0">
                  <c:v>1</c:v>
                </c:pt>
                <c:pt idx="1">
                  <c:v>1</c:v>
                </c:pt>
                <c:pt idx="2">
                  <c:v>1</c:v>
                </c:pt>
                <c:pt idx="3">
                  <c:v>0</c:v>
                </c:pt>
                <c:pt idx="4">
                  <c:v>0</c:v>
                </c:pt>
              </c:numCache>
            </c:numRef>
          </c:val>
          <c:extLst>
            <c:ext xmlns:c16="http://schemas.microsoft.com/office/drawing/2014/chart" uri="{C3380CC4-5D6E-409C-BE32-E72D297353CC}">
              <c16:uniqueId val="{00000008-71EA-4735-B14B-237D145F3285}"/>
            </c:ext>
          </c:extLst>
        </c:ser>
        <c:dLbls>
          <c:showLegendKey val="0"/>
          <c:showVal val="1"/>
          <c:showCatName val="0"/>
          <c:showSerName val="0"/>
          <c:showPercent val="0"/>
          <c:showBubbleSize val="0"/>
        </c:dLbls>
        <c:gapWidth val="150"/>
        <c:shape val="box"/>
        <c:axId val="218087936"/>
        <c:axId val="217518016"/>
        <c:axId val="0"/>
      </c:bar3DChart>
      <c:catAx>
        <c:axId val="218087936"/>
        <c:scaling>
          <c:orientation val="minMax"/>
        </c:scaling>
        <c:delete val="1"/>
        <c:axPos val="b"/>
        <c:numFmt formatCode="General" sourceLinked="0"/>
        <c:majorTickMark val="out"/>
        <c:minorTickMark val="none"/>
        <c:tickLblPos val="nextTo"/>
        <c:crossAx val="217518016"/>
        <c:crosses val="autoZero"/>
        <c:auto val="1"/>
        <c:lblAlgn val="ctr"/>
        <c:lblOffset val="100"/>
        <c:noMultiLvlLbl val="0"/>
      </c:catAx>
      <c:valAx>
        <c:axId val="217518016"/>
        <c:scaling>
          <c:orientation val="minMax"/>
          <c:max val="1"/>
        </c:scaling>
        <c:delete val="0"/>
        <c:axPos val="l"/>
        <c:numFmt formatCode="0%" sourceLinked="1"/>
        <c:majorTickMark val="out"/>
        <c:minorTickMark val="none"/>
        <c:tickLblPos val="nextTo"/>
        <c:crossAx val="218087936"/>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latin typeface="+mn-lt"/>
                <a:ea typeface="+mn-ea"/>
                <a:cs typeface="+mn-cs"/>
              </a:rPr>
              <a:t>Avance Automatización Cuenta de Nómina</a:t>
            </a:r>
          </a:p>
        </c:rich>
      </c:tx>
      <c:overlay val="0"/>
      <c:spPr>
        <a:noFill/>
        <a:ln>
          <a:noFill/>
        </a:ln>
        <a:effectLst/>
      </c:spPr>
    </c:title>
    <c:autoTitleDeleted val="0"/>
    <c:plotArea>
      <c:layout/>
      <c:barChart>
        <c:barDir val="col"/>
        <c:grouping val="clustered"/>
        <c:varyColors val="0"/>
        <c:ser>
          <c:idx val="0"/>
          <c:order val="0"/>
          <c:tx>
            <c:strRef>
              <c:f>'Resumen Total Movil'!$C$47</c:f>
              <c:strCache>
                <c:ptCount val="1"/>
                <c:pt idx="0">
                  <c:v>Avance Modelo Negocio</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Movil'!$C$48:$C$51</c:f>
              <c:numCache>
                <c:formatCode>0%</c:formatCode>
                <c:ptCount val="4"/>
                <c:pt idx="0">
                  <c:v>0</c:v>
                </c:pt>
                <c:pt idx="1">
                  <c:v>0</c:v>
                </c:pt>
                <c:pt idx="2">
                  <c:v>0</c:v>
                </c:pt>
                <c:pt idx="3">
                  <c:v>0</c:v>
                </c:pt>
              </c:numCache>
            </c:numRef>
          </c:val>
          <c:extLst>
            <c:ext xmlns:c16="http://schemas.microsoft.com/office/drawing/2014/chart" uri="{C3380CC4-5D6E-409C-BE32-E72D297353CC}">
              <c16:uniqueId val="{00000001-0E42-427A-9B84-09E8E2E319AE}"/>
            </c:ext>
          </c:extLst>
        </c:ser>
        <c:ser>
          <c:idx val="1"/>
          <c:order val="1"/>
          <c:tx>
            <c:strRef>
              <c:f>'Resumen Total Movil'!$D$47</c:f>
              <c:strCache>
                <c:ptCount val="1"/>
                <c:pt idx="0">
                  <c:v>Avance Modelo Tecnico</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Movil'!$D$48:$D$51</c:f>
              <c:numCache>
                <c:formatCode>0%</c:formatCode>
                <c:ptCount val="4"/>
                <c:pt idx="0">
                  <c:v>0</c:v>
                </c:pt>
                <c:pt idx="1">
                  <c:v>0</c:v>
                </c:pt>
                <c:pt idx="2">
                  <c:v>0</c:v>
                </c:pt>
                <c:pt idx="3">
                  <c:v>0</c:v>
                </c:pt>
              </c:numCache>
            </c:numRef>
          </c:val>
          <c:extLst>
            <c:ext xmlns:c16="http://schemas.microsoft.com/office/drawing/2014/chart" uri="{C3380CC4-5D6E-409C-BE32-E72D297353CC}">
              <c16:uniqueId val="{00000003-0E42-427A-9B84-09E8E2E319AE}"/>
            </c:ext>
          </c:extLst>
        </c:ser>
        <c:ser>
          <c:idx val="2"/>
          <c:order val="2"/>
          <c:tx>
            <c:strRef>
              <c:f>'Resumen Total Movil'!$E$47</c:f>
              <c:strCache>
                <c:ptCount val="1"/>
                <c:pt idx="0">
                  <c:v>Avance Automatización Temprana</c:v>
                </c:pt>
              </c:strCache>
            </c:strRef>
          </c:tx>
          <c:spPr>
            <a:solidFill>
              <a:schemeClr val="accent3"/>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Movil'!$E$48:$E$51</c:f>
              <c:numCache>
                <c:formatCode>0%</c:formatCode>
                <c:ptCount val="4"/>
                <c:pt idx="0">
                  <c:v>0</c:v>
                </c:pt>
                <c:pt idx="1">
                  <c:v>0</c:v>
                </c:pt>
                <c:pt idx="2">
                  <c:v>0</c:v>
                </c:pt>
                <c:pt idx="3">
                  <c:v>0</c:v>
                </c:pt>
              </c:numCache>
            </c:numRef>
          </c:val>
          <c:extLst>
            <c:ext xmlns:c16="http://schemas.microsoft.com/office/drawing/2014/chart" uri="{C3380CC4-5D6E-409C-BE32-E72D297353CC}">
              <c16:uniqueId val="{00000005-0E42-427A-9B84-09E8E2E319AE}"/>
            </c:ext>
          </c:extLst>
        </c:ser>
        <c:ser>
          <c:idx val="3"/>
          <c:order val="3"/>
          <c:tx>
            <c:strRef>
              <c:f>'Resumen Total Movil'!$F$47</c:f>
              <c:strCache>
                <c:ptCount val="1"/>
                <c:pt idx="0">
                  <c:v>Avance Estructura Técnica</c:v>
                </c:pt>
              </c:strCache>
            </c:strRef>
          </c:tx>
          <c:spPr>
            <a:solidFill>
              <a:schemeClr val="accent4"/>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Movil'!$B$2:$B$5</c:f>
              <c:strCache>
                <c:ptCount val="4"/>
                <c:pt idx="0">
                  <c:v>Android</c:v>
                </c:pt>
                <c:pt idx="1">
                  <c:v>IOS</c:v>
                </c:pt>
                <c:pt idx="2">
                  <c:v>Tablet</c:v>
                </c:pt>
                <c:pt idx="3">
                  <c:v>Web</c:v>
                </c:pt>
              </c:strCache>
            </c:strRef>
          </c:cat>
          <c:val>
            <c:numRef>
              <c:f>'Resumen Total Movil'!$F$48:$F$51</c:f>
              <c:numCache>
                <c:formatCode>0%</c:formatCode>
                <c:ptCount val="4"/>
                <c:pt idx="0">
                  <c:v>0</c:v>
                </c:pt>
                <c:pt idx="1">
                  <c:v>0</c:v>
                </c:pt>
                <c:pt idx="2">
                  <c:v>0</c:v>
                </c:pt>
                <c:pt idx="3">
                  <c:v>0</c:v>
                </c:pt>
              </c:numCache>
            </c:numRef>
          </c:val>
          <c:extLst>
            <c:ext xmlns:c16="http://schemas.microsoft.com/office/drawing/2014/chart" uri="{C3380CC4-5D6E-409C-BE32-E72D297353CC}">
              <c16:uniqueId val="{00000007-0E42-427A-9B84-09E8E2E319AE}"/>
            </c:ext>
          </c:extLst>
        </c:ser>
        <c:dLbls>
          <c:dLblPos val="outEnd"/>
          <c:showLegendKey val="0"/>
          <c:showVal val="1"/>
          <c:showCatName val="0"/>
          <c:showSerName val="0"/>
          <c:showPercent val="0"/>
          <c:showBubbleSize val="0"/>
        </c:dLbls>
        <c:gapWidth val="219"/>
        <c:axId val="218088960"/>
        <c:axId val="217519744"/>
      </c:barChart>
      <c:catAx>
        <c:axId val="21808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17519744"/>
        <c:crosses val="autoZero"/>
        <c:auto val="1"/>
        <c:lblAlgn val="ctr"/>
        <c:lblOffset val="100"/>
        <c:noMultiLvlLbl val="0"/>
      </c:catAx>
      <c:valAx>
        <c:axId val="21751974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18088960"/>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vert="horz"/>
          <a:lstStyle/>
          <a:p>
            <a:pPr>
              <a:defRPr/>
            </a:pPr>
            <a:r>
              <a:rPr lang="en-US"/>
              <a:t>Avance Total Automatización Cuenta de Nomina</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invertIfNegative val="0"/>
          <c:dPt>
            <c:idx val="0"/>
            <c:invertIfNegative val="0"/>
            <c:bubble3D val="0"/>
            <c:spPr>
              <a:solidFill>
                <a:schemeClr val="tx2">
                  <a:lumMod val="60000"/>
                  <a:lumOff val="40000"/>
                </a:schemeClr>
              </a:solidFill>
            </c:spPr>
            <c:extLst>
              <c:ext xmlns:c16="http://schemas.microsoft.com/office/drawing/2014/chart" uri="{C3380CC4-5D6E-409C-BE32-E72D297353CC}">
                <c16:uniqueId val="{00000001-F8E8-4A65-A6A3-04195115116D}"/>
              </c:ext>
            </c:extLst>
          </c:dPt>
          <c:dPt>
            <c:idx val="1"/>
            <c:invertIfNegative val="0"/>
            <c:bubble3D val="0"/>
            <c:spPr>
              <a:solidFill>
                <a:schemeClr val="accent2">
                  <a:lumMod val="75000"/>
                </a:schemeClr>
              </a:solidFill>
            </c:spPr>
            <c:extLst>
              <c:ext xmlns:c16="http://schemas.microsoft.com/office/drawing/2014/chart" uri="{C3380CC4-5D6E-409C-BE32-E72D297353CC}">
                <c16:uniqueId val="{00000003-F8E8-4A65-A6A3-04195115116D}"/>
              </c:ext>
            </c:extLst>
          </c:dPt>
          <c:dPt>
            <c:idx val="3"/>
            <c:invertIfNegative val="0"/>
            <c:bubble3D val="0"/>
            <c:spPr>
              <a:solidFill>
                <a:schemeClr val="accent5">
                  <a:lumMod val="75000"/>
                </a:schemeClr>
              </a:solidFill>
            </c:spPr>
            <c:extLst>
              <c:ext xmlns:c16="http://schemas.microsoft.com/office/drawing/2014/chart" uri="{C3380CC4-5D6E-409C-BE32-E72D297353CC}">
                <c16:uniqueId val="{00000005-9A75-48A6-B0AF-180CB9538CB2}"/>
              </c:ext>
            </c:extLst>
          </c:dPt>
          <c:dPt>
            <c:idx val="4"/>
            <c:invertIfNegative val="0"/>
            <c:bubble3D val="0"/>
            <c:spPr>
              <a:solidFill>
                <a:schemeClr val="accent6">
                  <a:lumMod val="75000"/>
                </a:schemeClr>
              </a:solidFill>
            </c:spPr>
            <c:extLst>
              <c:ext xmlns:c16="http://schemas.microsoft.com/office/drawing/2014/chart" uri="{C3380CC4-5D6E-409C-BE32-E72D297353CC}">
                <c16:uniqueId val="{00000005-F8E8-4A65-A6A3-04195115116D}"/>
              </c:ext>
            </c:extLst>
          </c:dPt>
          <c:dLbls>
            <c:spPr>
              <a:no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Movil'!$B$48:$B$52</c:f>
              <c:strCache>
                <c:ptCount val="5"/>
                <c:pt idx="0">
                  <c:v>Android</c:v>
                </c:pt>
                <c:pt idx="1">
                  <c:v>IOS</c:v>
                </c:pt>
                <c:pt idx="2">
                  <c:v>Tablet</c:v>
                </c:pt>
                <c:pt idx="3">
                  <c:v>Web</c:v>
                </c:pt>
                <c:pt idx="4">
                  <c:v>Total</c:v>
                </c:pt>
              </c:strCache>
            </c:strRef>
          </c:cat>
          <c:val>
            <c:numRef>
              <c:f>'Resumen Total Movil'!$G$48:$G$52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2DD5-4DFC-80BF-5B7171EF11AD}"/>
            </c:ext>
          </c:extLst>
        </c:ser>
        <c:dLbls>
          <c:showLegendKey val="0"/>
          <c:showVal val="1"/>
          <c:showCatName val="0"/>
          <c:showSerName val="0"/>
          <c:showPercent val="0"/>
          <c:showBubbleSize val="0"/>
        </c:dLbls>
        <c:gapWidth val="219"/>
        <c:shape val="cylinder"/>
        <c:axId val="218091008"/>
        <c:axId val="218439680"/>
        <c:axId val="0"/>
      </c:bar3DChart>
      <c:catAx>
        <c:axId val="218091008"/>
        <c:scaling>
          <c:orientation val="minMax"/>
        </c:scaling>
        <c:delete val="0"/>
        <c:axPos val="b"/>
        <c:numFmt formatCode="General" sourceLinked="1"/>
        <c:majorTickMark val="none"/>
        <c:minorTickMark val="none"/>
        <c:tickLblPos val="nextTo"/>
        <c:txPr>
          <a:bodyPr rot="-60000000" vert="horz"/>
          <a:lstStyle/>
          <a:p>
            <a:pPr>
              <a:defRPr/>
            </a:pPr>
            <a:endParaRPr lang="es-CO"/>
          </a:p>
        </c:txPr>
        <c:crossAx val="218439680"/>
        <c:crosses val="autoZero"/>
        <c:auto val="1"/>
        <c:lblAlgn val="ctr"/>
        <c:lblOffset val="100"/>
        <c:noMultiLvlLbl val="0"/>
      </c:catAx>
      <c:valAx>
        <c:axId val="218439680"/>
        <c:scaling>
          <c:orientation val="minMax"/>
          <c:max val="1"/>
        </c:scaling>
        <c:delete val="0"/>
        <c:axPos val="l"/>
        <c:numFmt formatCode="0%" sourceLinked="0"/>
        <c:majorTickMark val="none"/>
        <c:minorTickMark val="none"/>
        <c:tickLblPos val="nextTo"/>
        <c:txPr>
          <a:bodyPr rot="-60000000" vert="horz"/>
          <a:lstStyle/>
          <a:p>
            <a:pPr>
              <a:defRPr/>
            </a:pPr>
            <a:endParaRPr lang="es-CO"/>
          </a:p>
        </c:txPr>
        <c:crossAx val="218091008"/>
        <c:crosses val="autoZero"/>
        <c:crossBetween val="between"/>
        <c:majorUnit val="0.2"/>
      </c:valAx>
    </c:plotArea>
    <c:legend>
      <c:legendPos val="r"/>
      <c:overlay val="0"/>
      <c:txPr>
        <a:bodyPr rot="0" vert="horz"/>
        <a:lstStyle/>
        <a:p>
          <a:pPr>
            <a:defRPr/>
          </a:pPr>
          <a:endParaRPr lang="es-CO"/>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Resumen Flujos Automatizados Cuenta de Nomina en Dispositivos Móviles</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dPt>
            <c:idx val="0"/>
            <c:invertIfNegative val="0"/>
            <c:bubble3D val="0"/>
            <c:spPr>
              <a:solidFill>
                <a:schemeClr val="accent2">
                  <a:lumMod val="60000"/>
                  <a:lumOff val="40000"/>
                </a:schemeClr>
              </a:solidFill>
            </c:spPr>
            <c:extLst>
              <c:ext xmlns:c16="http://schemas.microsoft.com/office/drawing/2014/chart" uri="{C3380CC4-5D6E-409C-BE32-E72D297353CC}">
                <c16:uniqueId val="{00000001-F907-46F2-AC8E-C7E1D1CC4DDE}"/>
              </c:ext>
            </c:extLst>
          </c:dPt>
          <c:dPt>
            <c:idx val="1"/>
            <c:invertIfNegative val="0"/>
            <c:bubble3D val="0"/>
            <c:spPr>
              <a:solidFill>
                <a:schemeClr val="accent3">
                  <a:lumMod val="60000"/>
                  <a:lumOff val="40000"/>
                </a:schemeClr>
              </a:solidFill>
            </c:spPr>
            <c:extLst>
              <c:ext xmlns:c16="http://schemas.microsoft.com/office/drawing/2014/chart" uri="{C3380CC4-5D6E-409C-BE32-E72D297353CC}">
                <c16:uniqueId val="{00000003-F907-46F2-AC8E-C7E1D1CC4DDE}"/>
              </c:ext>
            </c:extLst>
          </c:dPt>
          <c:dPt>
            <c:idx val="2"/>
            <c:invertIfNegative val="0"/>
            <c:bubble3D val="0"/>
            <c:spPr>
              <a:solidFill>
                <a:schemeClr val="tx2">
                  <a:lumMod val="60000"/>
                  <a:lumOff val="40000"/>
                </a:schemeClr>
              </a:solidFill>
            </c:spPr>
            <c:extLst>
              <c:ext xmlns:c16="http://schemas.microsoft.com/office/drawing/2014/chart" uri="{C3380CC4-5D6E-409C-BE32-E72D297353CC}">
                <c16:uniqueId val="{00000005-F907-46F2-AC8E-C7E1D1CC4DD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Movil'!$J$2:$L$2</c:f>
              <c:strCache>
                <c:ptCount val="3"/>
                <c:pt idx="0">
                  <c:v>Flujos Negativos</c:v>
                </c:pt>
                <c:pt idx="1">
                  <c:v>Flujos Alternos</c:v>
                </c:pt>
                <c:pt idx="2">
                  <c:v>Flujos Funcionales</c:v>
                </c:pt>
              </c:strCache>
            </c:strRef>
          </c:cat>
          <c:val>
            <c:numRef>
              <c:f>'Resumen Total Movil'!$J$49:$L$49</c:f>
              <c:numCache>
                <c:formatCode>0%</c:formatCode>
                <c:ptCount val="3"/>
                <c:pt idx="0">
                  <c:v>0</c:v>
                </c:pt>
                <c:pt idx="1">
                  <c:v>0</c:v>
                </c:pt>
                <c:pt idx="2">
                  <c:v>0</c:v>
                </c:pt>
              </c:numCache>
            </c:numRef>
          </c:val>
          <c:extLst>
            <c:ext xmlns:c16="http://schemas.microsoft.com/office/drawing/2014/chart" uri="{C3380CC4-5D6E-409C-BE32-E72D297353CC}">
              <c16:uniqueId val="{00000006-F907-46F2-AC8E-C7E1D1CC4DDE}"/>
            </c:ext>
          </c:extLst>
        </c:ser>
        <c:dLbls>
          <c:showLegendKey val="0"/>
          <c:showVal val="1"/>
          <c:showCatName val="0"/>
          <c:showSerName val="0"/>
          <c:showPercent val="0"/>
          <c:showBubbleSize val="0"/>
        </c:dLbls>
        <c:gapWidth val="75"/>
        <c:shape val="cylinder"/>
        <c:axId val="218297344"/>
        <c:axId val="218441408"/>
        <c:axId val="0"/>
      </c:bar3DChart>
      <c:catAx>
        <c:axId val="218297344"/>
        <c:scaling>
          <c:orientation val="minMax"/>
        </c:scaling>
        <c:delete val="0"/>
        <c:axPos val="b"/>
        <c:numFmt formatCode="General" sourceLinked="0"/>
        <c:majorTickMark val="none"/>
        <c:minorTickMark val="none"/>
        <c:tickLblPos val="nextTo"/>
        <c:crossAx val="218441408"/>
        <c:crosses val="autoZero"/>
        <c:auto val="1"/>
        <c:lblAlgn val="ctr"/>
        <c:lblOffset val="100"/>
        <c:noMultiLvlLbl val="0"/>
      </c:catAx>
      <c:valAx>
        <c:axId val="218441408"/>
        <c:scaling>
          <c:orientation val="minMax"/>
          <c:max val="1"/>
          <c:min val="0"/>
        </c:scaling>
        <c:delete val="0"/>
        <c:axPos val="l"/>
        <c:numFmt formatCode="0%" sourceLinked="1"/>
        <c:majorTickMark val="none"/>
        <c:minorTickMark val="none"/>
        <c:tickLblPos val="nextTo"/>
        <c:crossAx val="218297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a:pPr>
            <a:r>
              <a:rPr lang="en-US"/>
              <a:t>Resumen Total de Flujos Automatizados Cuenta de Nomina</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'Resumen Total Movil'!$J$52:$L$52</c:f>
              <c:strCache>
                <c:ptCount val="3"/>
                <c:pt idx="0">
                  <c:v>Flujos Negativos</c:v>
                </c:pt>
                <c:pt idx="1">
                  <c:v>Flujos Alternos</c:v>
                </c:pt>
                <c:pt idx="2">
                  <c:v>Flujos Funcionales</c:v>
                </c:pt>
              </c:strCache>
            </c:strRef>
          </c:tx>
          <c:invertIfNegative val="0"/>
          <c:dPt>
            <c:idx val="0"/>
            <c:invertIfNegative val="0"/>
            <c:bubble3D val="0"/>
            <c:extLst>
              <c:ext xmlns:c16="http://schemas.microsoft.com/office/drawing/2014/chart" uri="{C3380CC4-5D6E-409C-BE32-E72D297353CC}">
                <c16:uniqueId val="{00000000-DEBA-4221-8991-37FB32EFA0D1}"/>
              </c:ext>
            </c:extLst>
          </c:dPt>
          <c:dPt>
            <c:idx val="1"/>
            <c:invertIfNegative val="0"/>
            <c:bubble3D val="0"/>
            <c:extLst>
              <c:ext xmlns:c16="http://schemas.microsoft.com/office/drawing/2014/chart" uri="{C3380CC4-5D6E-409C-BE32-E72D297353CC}">
                <c16:uniqueId val="{00000001-DEBA-4221-8991-37FB32EFA0D1}"/>
              </c:ext>
            </c:extLst>
          </c:dPt>
          <c:dPt>
            <c:idx val="2"/>
            <c:invertIfNegative val="0"/>
            <c:bubble3D val="0"/>
            <c:extLst>
              <c:ext xmlns:c16="http://schemas.microsoft.com/office/drawing/2014/chart" uri="{C3380CC4-5D6E-409C-BE32-E72D297353CC}">
                <c16:uniqueId val="{00000002-DEBA-4221-8991-37FB32EFA0D1}"/>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Movil'!$J$2:$L$2</c:f>
              <c:strCache>
                <c:ptCount val="3"/>
                <c:pt idx="0">
                  <c:v>Flujos Negativos</c:v>
                </c:pt>
                <c:pt idx="1">
                  <c:v>Flujos Alternos</c:v>
                </c:pt>
                <c:pt idx="2">
                  <c:v>Flujos Funcionales</c:v>
                </c:pt>
              </c:strCache>
            </c:strRef>
          </c:cat>
          <c:val>
            <c:numRef>
              <c:f>'Resumen Total Movil'!$J$53:$L$53</c:f>
              <c:numCache>
                <c:formatCode>0%</c:formatCode>
                <c:ptCount val="3"/>
                <c:pt idx="0">
                  <c:v>0</c:v>
                </c:pt>
                <c:pt idx="1">
                  <c:v>0</c:v>
                </c:pt>
                <c:pt idx="2">
                  <c:v>0</c:v>
                </c:pt>
              </c:numCache>
            </c:numRef>
          </c:val>
          <c:extLst>
            <c:ext xmlns:c16="http://schemas.microsoft.com/office/drawing/2014/chart" uri="{C3380CC4-5D6E-409C-BE32-E72D297353CC}">
              <c16:uniqueId val="{00000003-DEBA-4221-8991-37FB32EFA0D1}"/>
            </c:ext>
          </c:extLst>
        </c:ser>
        <c:dLbls>
          <c:showLegendKey val="0"/>
          <c:showVal val="1"/>
          <c:showCatName val="0"/>
          <c:showSerName val="0"/>
          <c:showPercent val="0"/>
          <c:showBubbleSize val="0"/>
        </c:dLbls>
        <c:gapWidth val="75"/>
        <c:shape val="cylinder"/>
        <c:axId val="218298368"/>
        <c:axId val="218443136"/>
        <c:axId val="0"/>
      </c:bar3DChart>
      <c:catAx>
        <c:axId val="218298368"/>
        <c:scaling>
          <c:orientation val="minMax"/>
        </c:scaling>
        <c:delete val="0"/>
        <c:axPos val="b"/>
        <c:numFmt formatCode="General" sourceLinked="0"/>
        <c:majorTickMark val="none"/>
        <c:minorTickMark val="none"/>
        <c:tickLblPos val="nextTo"/>
        <c:crossAx val="218443136"/>
        <c:crosses val="autoZero"/>
        <c:auto val="1"/>
        <c:lblAlgn val="ctr"/>
        <c:lblOffset val="100"/>
        <c:noMultiLvlLbl val="0"/>
      </c:catAx>
      <c:valAx>
        <c:axId val="218443136"/>
        <c:scaling>
          <c:orientation val="minMax"/>
          <c:max val="1"/>
          <c:min val="0"/>
        </c:scaling>
        <c:delete val="0"/>
        <c:axPos val="l"/>
        <c:numFmt formatCode="0%" sourceLinked="1"/>
        <c:majorTickMark val="none"/>
        <c:minorTickMark val="none"/>
        <c:tickLblPos val="nextTo"/>
        <c:crossAx val="2182983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a:lstStyle/>
          <a:p>
            <a:pPr>
              <a:defRPr/>
            </a:pPr>
            <a:r>
              <a:rPr lang="es-CO"/>
              <a:t>VISIÓN</a:t>
            </a:r>
            <a:r>
              <a:rPr lang="es-CO" baseline="0"/>
              <a:t> GENERAL FLUJOS AUTO CUENTA DE NOMINA</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invertIfNegative val="0"/>
          <c:dPt>
            <c:idx val="0"/>
            <c:invertIfNegative val="0"/>
            <c:bubble3D val="0"/>
            <c:spPr>
              <a:solidFill>
                <a:schemeClr val="tx2">
                  <a:lumMod val="60000"/>
                  <a:lumOff val="40000"/>
                </a:schemeClr>
              </a:solidFill>
            </c:spPr>
            <c:extLst>
              <c:ext xmlns:c16="http://schemas.microsoft.com/office/drawing/2014/chart" uri="{C3380CC4-5D6E-409C-BE32-E72D297353CC}">
                <c16:uniqueId val="{00000001-FA10-4A67-A1E5-28E59B3B4F23}"/>
              </c:ext>
            </c:extLst>
          </c:dPt>
          <c:dPt>
            <c:idx val="1"/>
            <c:invertIfNegative val="0"/>
            <c:bubble3D val="0"/>
            <c:spPr>
              <a:solidFill>
                <a:schemeClr val="accent6">
                  <a:lumMod val="75000"/>
                </a:schemeClr>
              </a:solidFill>
            </c:spPr>
            <c:extLst>
              <c:ext xmlns:c16="http://schemas.microsoft.com/office/drawing/2014/chart" uri="{C3380CC4-5D6E-409C-BE32-E72D297353CC}">
                <c16:uniqueId val="{00000003-FA10-4A67-A1E5-28E59B3B4F23}"/>
              </c:ext>
            </c:extLst>
          </c:dPt>
          <c:dPt>
            <c:idx val="3"/>
            <c:invertIfNegative val="0"/>
            <c:bubble3D val="0"/>
            <c:spPr>
              <a:solidFill>
                <a:schemeClr val="accent3">
                  <a:lumMod val="75000"/>
                </a:schemeClr>
              </a:solidFill>
            </c:spPr>
            <c:extLst>
              <c:ext xmlns:c16="http://schemas.microsoft.com/office/drawing/2014/chart" uri="{C3380CC4-5D6E-409C-BE32-E72D297353CC}">
                <c16:uniqueId val="{00000005-FA10-4A67-A1E5-28E59B3B4F23}"/>
              </c:ext>
            </c:extLst>
          </c:dPt>
          <c:dPt>
            <c:idx val="4"/>
            <c:invertIfNegative val="0"/>
            <c:bubble3D val="0"/>
            <c:spPr>
              <a:solidFill>
                <a:schemeClr val="accent5">
                  <a:lumMod val="60000"/>
                  <a:lumOff val="40000"/>
                </a:schemeClr>
              </a:solidFill>
            </c:spPr>
            <c:extLst>
              <c:ext xmlns:c16="http://schemas.microsoft.com/office/drawing/2014/chart" uri="{C3380CC4-5D6E-409C-BE32-E72D297353CC}">
                <c16:uniqueId val="{00000007-FA10-4A67-A1E5-28E59B3B4F23}"/>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Movil'!$C$47:$G$47</c:f>
              <c:strCache>
                <c:ptCount val="5"/>
                <c:pt idx="0">
                  <c:v>Avance Modelo Negocio</c:v>
                </c:pt>
                <c:pt idx="1">
                  <c:v>Avance Modelo Tecnico</c:v>
                </c:pt>
                <c:pt idx="2">
                  <c:v>Avance Automatización Temprana</c:v>
                </c:pt>
                <c:pt idx="3">
                  <c:v>Avance Estructura Técnica</c:v>
                </c:pt>
                <c:pt idx="4">
                  <c:v>Avance Total</c:v>
                </c:pt>
              </c:strCache>
            </c:strRef>
          </c:cat>
          <c:val>
            <c:numRef>
              <c:f>'Resumen Total Movil'!$C$52:$G$52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8-FA10-4A67-A1E5-28E59B3B4F23}"/>
            </c:ext>
          </c:extLst>
        </c:ser>
        <c:dLbls>
          <c:showLegendKey val="0"/>
          <c:showVal val="1"/>
          <c:showCatName val="0"/>
          <c:showSerName val="0"/>
          <c:showPercent val="0"/>
          <c:showBubbleSize val="0"/>
        </c:dLbls>
        <c:gapWidth val="150"/>
        <c:shape val="box"/>
        <c:axId val="218299904"/>
        <c:axId val="218444864"/>
        <c:axId val="0"/>
      </c:bar3DChart>
      <c:catAx>
        <c:axId val="218299904"/>
        <c:scaling>
          <c:orientation val="minMax"/>
        </c:scaling>
        <c:delete val="1"/>
        <c:axPos val="b"/>
        <c:numFmt formatCode="General" sourceLinked="0"/>
        <c:majorTickMark val="out"/>
        <c:minorTickMark val="none"/>
        <c:tickLblPos val="nextTo"/>
        <c:crossAx val="218444864"/>
        <c:crosses val="autoZero"/>
        <c:auto val="1"/>
        <c:lblAlgn val="ctr"/>
        <c:lblOffset val="100"/>
        <c:noMultiLvlLbl val="0"/>
      </c:catAx>
      <c:valAx>
        <c:axId val="218444864"/>
        <c:scaling>
          <c:orientation val="minMax"/>
          <c:max val="1"/>
        </c:scaling>
        <c:delete val="0"/>
        <c:axPos val="l"/>
        <c:numFmt formatCode="0%" sourceLinked="1"/>
        <c:majorTickMark val="out"/>
        <c:minorTickMark val="none"/>
        <c:tickLblPos val="nextTo"/>
        <c:crossAx val="218299904"/>
        <c:crosses val="autoZero"/>
        <c:crossBetween val="between"/>
        <c:majorUnit val="0.2"/>
      </c:valAx>
    </c:plotArea>
    <c:legend>
      <c:legendPos val="b"/>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rot="0" vert="horz"/>
          <a:lstStyle/>
          <a:p>
            <a:pPr>
              <a:defRPr/>
            </a:pPr>
            <a:r>
              <a:rPr lang="en-US"/>
              <a:t>Resumen Flujos Automatizados de Tarjeta de Credito Moviles</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'Resumen Total Movil'!$J$93:$L$94</c:f>
              <c:multiLvlStrCache>
                <c:ptCount val="3"/>
                <c:lvl>
                  <c:pt idx="0">
                    <c:v>Flujos Negativos</c:v>
                  </c:pt>
                  <c:pt idx="1">
                    <c:v>Flujos Alternos</c:v>
                  </c:pt>
                  <c:pt idx="2">
                    <c:v>Flujos Funcionales</c:v>
                  </c:pt>
                </c:lvl>
                <c:lvl>
                  <c:pt idx="0">
                    <c:v>RESUMEN FLUJOS AUTO TARJETA DE CREDITO MOVIL</c:v>
                  </c:pt>
                </c:lvl>
              </c:multiLvlStrCache>
            </c:multiLvlStrRef>
          </c:cat>
          <c:val>
            <c:numRef>
              <c:f>'Resumen Total Movil'!$J$95:$L$95</c:f>
              <c:numCache>
                <c:formatCode>0%</c:formatCode>
                <c:ptCount val="3"/>
                <c:pt idx="0">
                  <c:v>0</c:v>
                </c:pt>
                <c:pt idx="1">
                  <c:v>0</c:v>
                </c:pt>
                <c:pt idx="2">
                  <c:v>0</c:v>
                </c:pt>
              </c:numCache>
            </c:numRef>
          </c:val>
          <c:extLst>
            <c:ext xmlns:c16="http://schemas.microsoft.com/office/drawing/2014/chart" uri="{C3380CC4-5D6E-409C-BE32-E72D297353CC}">
              <c16:uniqueId val="{00000001-C688-427F-811E-24309C70EAB6}"/>
            </c:ext>
          </c:extLst>
        </c:ser>
        <c:dLbls>
          <c:showLegendKey val="0"/>
          <c:showVal val="1"/>
          <c:showCatName val="0"/>
          <c:showSerName val="0"/>
          <c:showPercent val="0"/>
          <c:showBubbleSize val="0"/>
        </c:dLbls>
        <c:gapWidth val="219"/>
        <c:shape val="box"/>
        <c:axId val="218985472"/>
        <c:axId val="218446592"/>
        <c:axId val="0"/>
      </c:bar3DChart>
      <c:catAx>
        <c:axId val="218985472"/>
        <c:scaling>
          <c:orientation val="minMax"/>
        </c:scaling>
        <c:delete val="0"/>
        <c:axPos val="b"/>
        <c:numFmt formatCode="General" sourceLinked="1"/>
        <c:majorTickMark val="none"/>
        <c:minorTickMark val="none"/>
        <c:tickLblPos val="nextTo"/>
        <c:txPr>
          <a:bodyPr rot="-60000000" vert="horz"/>
          <a:lstStyle/>
          <a:p>
            <a:pPr>
              <a:defRPr/>
            </a:pPr>
            <a:endParaRPr lang="es-CO"/>
          </a:p>
        </c:txPr>
        <c:crossAx val="218446592"/>
        <c:crosses val="autoZero"/>
        <c:auto val="1"/>
        <c:lblAlgn val="ctr"/>
        <c:lblOffset val="100"/>
        <c:noMultiLvlLbl val="0"/>
      </c:catAx>
      <c:valAx>
        <c:axId val="218446592"/>
        <c:scaling>
          <c:orientation val="minMax"/>
        </c:scaling>
        <c:delete val="0"/>
        <c:axPos val="l"/>
        <c:numFmt formatCode="0%" sourceLinked="1"/>
        <c:majorTickMark val="none"/>
        <c:minorTickMark val="none"/>
        <c:tickLblPos val="nextTo"/>
        <c:txPr>
          <a:bodyPr rot="-60000000" vert="horz"/>
          <a:lstStyle/>
          <a:p>
            <a:pPr>
              <a:defRPr/>
            </a:pPr>
            <a:endParaRPr lang="es-CO"/>
          </a:p>
        </c:txPr>
        <c:crossAx val="218985472"/>
        <c:crosses val="autoZero"/>
        <c:crossBetween val="between"/>
        <c:majorUnit val="0.2"/>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rot="0" vert="horz"/>
          <a:lstStyle/>
          <a:p>
            <a:pPr>
              <a:defRPr/>
            </a:pPr>
            <a:r>
              <a:rPr lang="en-US"/>
              <a:t>Resumen Total Flujos Automatizados Tarjeta de Crédito</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'Resumen Total Movil'!$J$97:$L$98</c:f>
              <c:multiLvlStrCache>
                <c:ptCount val="3"/>
                <c:lvl>
                  <c:pt idx="0">
                    <c:v>Flujos Negativos</c:v>
                  </c:pt>
                  <c:pt idx="1">
                    <c:v>Flujos Alternos</c:v>
                  </c:pt>
                  <c:pt idx="2">
                    <c:v>Flujos Funcionales</c:v>
                  </c:pt>
                </c:lvl>
                <c:lvl>
                  <c:pt idx="0">
                    <c:v>RESUMEN FLUJOS AUTO TARJETA DE CREDITO</c:v>
                  </c:pt>
                </c:lvl>
              </c:multiLvlStrCache>
            </c:multiLvlStrRef>
          </c:cat>
          <c:val>
            <c:numRef>
              <c:f>'Resumen Total Movil'!$J$99:$L$99</c:f>
              <c:numCache>
                <c:formatCode>0%</c:formatCode>
                <c:ptCount val="3"/>
                <c:pt idx="0">
                  <c:v>0</c:v>
                </c:pt>
                <c:pt idx="1">
                  <c:v>0</c:v>
                </c:pt>
                <c:pt idx="2">
                  <c:v>0</c:v>
                </c:pt>
              </c:numCache>
            </c:numRef>
          </c:val>
          <c:extLst>
            <c:ext xmlns:c16="http://schemas.microsoft.com/office/drawing/2014/chart" uri="{C3380CC4-5D6E-409C-BE32-E72D297353CC}">
              <c16:uniqueId val="{00000001-09AE-4441-A605-A4B0F02BA3ED}"/>
            </c:ext>
          </c:extLst>
        </c:ser>
        <c:dLbls>
          <c:showLegendKey val="0"/>
          <c:showVal val="1"/>
          <c:showCatName val="0"/>
          <c:showSerName val="0"/>
          <c:showPercent val="0"/>
          <c:showBubbleSize val="0"/>
        </c:dLbls>
        <c:gapWidth val="219"/>
        <c:shape val="box"/>
        <c:axId val="218986496"/>
        <c:axId val="218939968"/>
        <c:axId val="0"/>
      </c:bar3DChart>
      <c:catAx>
        <c:axId val="218986496"/>
        <c:scaling>
          <c:orientation val="minMax"/>
        </c:scaling>
        <c:delete val="0"/>
        <c:axPos val="b"/>
        <c:numFmt formatCode="General" sourceLinked="1"/>
        <c:majorTickMark val="out"/>
        <c:minorTickMark val="none"/>
        <c:tickLblPos val="nextTo"/>
        <c:txPr>
          <a:bodyPr rot="-60000000" vert="horz"/>
          <a:lstStyle/>
          <a:p>
            <a:pPr>
              <a:defRPr/>
            </a:pPr>
            <a:endParaRPr lang="es-CO"/>
          </a:p>
        </c:txPr>
        <c:crossAx val="218939968"/>
        <c:crosses val="autoZero"/>
        <c:auto val="1"/>
        <c:lblAlgn val="ctr"/>
        <c:lblOffset val="100"/>
        <c:noMultiLvlLbl val="0"/>
      </c:catAx>
      <c:valAx>
        <c:axId val="218939968"/>
        <c:scaling>
          <c:orientation val="minMax"/>
        </c:scaling>
        <c:delete val="0"/>
        <c:axPos val="l"/>
        <c:numFmt formatCode="0%" sourceLinked="1"/>
        <c:majorTickMark val="out"/>
        <c:minorTickMark val="none"/>
        <c:tickLblPos val="nextTo"/>
        <c:txPr>
          <a:bodyPr rot="-60000000" vert="horz"/>
          <a:lstStyle/>
          <a:p>
            <a:pPr>
              <a:defRPr/>
            </a:pPr>
            <a:endParaRPr lang="es-CO"/>
          </a:p>
        </c:txPr>
        <c:crossAx val="218986496"/>
        <c:crosses val="autoZero"/>
        <c:crossBetween val="between"/>
        <c:majorUnit val="0.2"/>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Avance Automatización Tarjeta de crédito</a:t>
            </a:r>
          </a:p>
        </c:rich>
      </c:tx>
      <c:overlay val="0"/>
      <c:spPr>
        <a:solidFill>
          <a:sysClr val="window" lastClr="FFFFFF"/>
        </a:solidFill>
        <a:ln>
          <a:noFill/>
        </a:ln>
        <a:effectLst/>
      </c:spPr>
    </c:title>
    <c:autoTitleDeleted val="0"/>
    <c:plotArea>
      <c:layout/>
      <c:barChart>
        <c:barDir val="col"/>
        <c:grouping val="clustered"/>
        <c:varyColors val="0"/>
        <c:ser>
          <c:idx val="0"/>
          <c:order val="0"/>
          <c:tx>
            <c:strRef>
              <c:f>'Resumen Total Movil'!$B$94</c:f>
              <c:strCache>
                <c:ptCount val="1"/>
                <c:pt idx="0">
                  <c:v>Android</c:v>
                </c:pt>
              </c:strCache>
            </c:strRef>
          </c:tx>
          <c:spPr>
            <a:solidFill>
              <a:schemeClr val="accent1"/>
            </a:solidFill>
            <a:ln>
              <a:noFill/>
            </a:ln>
            <a:effectLst/>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Movil'!$C$93:$F$93</c:f>
              <c:strCache>
                <c:ptCount val="4"/>
                <c:pt idx="0">
                  <c:v>Avance Modelo Negocio</c:v>
                </c:pt>
                <c:pt idx="1">
                  <c:v>Avance Modelo Tecnico</c:v>
                </c:pt>
                <c:pt idx="2">
                  <c:v>Avance Automatización Temprana</c:v>
                </c:pt>
                <c:pt idx="3">
                  <c:v>Avance Estructura Técnica</c:v>
                </c:pt>
              </c:strCache>
            </c:strRef>
          </c:cat>
          <c:val>
            <c:numRef>
              <c:f>'Resumen Total Movil'!$C$94:$F$94</c:f>
              <c:numCache>
                <c:formatCode>0%</c:formatCode>
                <c:ptCount val="4"/>
                <c:pt idx="0">
                  <c:v>0</c:v>
                </c:pt>
                <c:pt idx="1">
                  <c:v>0</c:v>
                </c:pt>
                <c:pt idx="2">
                  <c:v>0</c:v>
                </c:pt>
                <c:pt idx="3">
                  <c:v>0</c:v>
                </c:pt>
              </c:numCache>
            </c:numRef>
          </c:val>
          <c:extLst>
            <c:ext xmlns:c16="http://schemas.microsoft.com/office/drawing/2014/chart" uri="{C3380CC4-5D6E-409C-BE32-E72D297353CC}">
              <c16:uniqueId val="{00000001-57FE-4961-A068-DF4B347EED6D}"/>
            </c:ext>
          </c:extLst>
        </c:ser>
        <c:ser>
          <c:idx val="1"/>
          <c:order val="1"/>
          <c:tx>
            <c:strRef>
              <c:f>'Resumen Total Movil'!$B$95</c:f>
              <c:strCache>
                <c:ptCount val="1"/>
                <c:pt idx="0">
                  <c:v>IOS</c:v>
                </c:pt>
              </c:strCache>
            </c:strRef>
          </c:tx>
          <c:spPr>
            <a:solidFill>
              <a:schemeClr val="accent2"/>
            </a:solidFill>
            <a:ln>
              <a:noFill/>
            </a:ln>
            <a:effectLst/>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Movil'!$C$93:$F$93</c:f>
              <c:strCache>
                <c:ptCount val="4"/>
                <c:pt idx="0">
                  <c:v>Avance Modelo Negocio</c:v>
                </c:pt>
                <c:pt idx="1">
                  <c:v>Avance Modelo Tecnico</c:v>
                </c:pt>
                <c:pt idx="2">
                  <c:v>Avance Automatización Temprana</c:v>
                </c:pt>
                <c:pt idx="3">
                  <c:v>Avance Estructura Técnica</c:v>
                </c:pt>
              </c:strCache>
            </c:strRef>
          </c:cat>
          <c:val>
            <c:numRef>
              <c:f>'Resumen Total Movil'!$C$95:$F$95</c:f>
              <c:numCache>
                <c:formatCode>0%</c:formatCode>
                <c:ptCount val="4"/>
                <c:pt idx="0">
                  <c:v>0</c:v>
                </c:pt>
                <c:pt idx="1">
                  <c:v>0</c:v>
                </c:pt>
                <c:pt idx="2">
                  <c:v>0</c:v>
                </c:pt>
                <c:pt idx="3">
                  <c:v>0</c:v>
                </c:pt>
              </c:numCache>
            </c:numRef>
          </c:val>
          <c:extLst>
            <c:ext xmlns:c16="http://schemas.microsoft.com/office/drawing/2014/chart" uri="{C3380CC4-5D6E-409C-BE32-E72D297353CC}">
              <c16:uniqueId val="{00000003-57FE-4961-A068-DF4B347EED6D}"/>
            </c:ext>
          </c:extLst>
        </c:ser>
        <c:ser>
          <c:idx val="2"/>
          <c:order val="2"/>
          <c:tx>
            <c:strRef>
              <c:f>'Resumen Total Movil'!$B$96</c:f>
              <c:strCache>
                <c:ptCount val="1"/>
                <c:pt idx="0">
                  <c:v>Tablet</c:v>
                </c:pt>
              </c:strCache>
            </c:strRef>
          </c:tx>
          <c:spPr>
            <a:solidFill>
              <a:schemeClr val="accent3"/>
            </a:solidFill>
            <a:ln>
              <a:noFill/>
            </a:ln>
            <a:effectLst/>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Movil'!$C$93:$F$93</c:f>
              <c:strCache>
                <c:ptCount val="4"/>
                <c:pt idx="0">
                  <c:v>Avance Modelo Negocio</c:v>
                </c:pt>
                <c:pt idx="1">
                  <c:v>Avance Modelo Tecnico</c:v>
                </c:pt>
                <c:pt idx="2">
                  <c:v>Avance Automatización Temprana</c:v>
                </c:pt>
                <c:pt idx="3">
                  <c:v>Avance Estructura Técnica</c:v>
                </c:pt>
              </c:strCache>
            </c:strRef>
          </c:cat>
          <c:val>
            <c:numRef>
              <c:f>'Resumen Total Movil'!$C$96:$F$96</c:f>
              <c:numCache>
                <c:formatCode>0%</c:formatCode>
                <c:ptCount val="4"/>
                <c:pt idx="0">
                  <c:v>0</c:v>
                </c:pt>
                <c:pt idx="1">
                  <c:v>0</c:v>
                </c:pt>
                <c:pt idx="2">
                  <c:v>0</c:v>
                </c:pt>
                <c:pt idx="3">
                  <c:v>0</c:v>
                </c:pt>
              </c:numCache>
            </c:numRef>
          </c:val>
          <c:extLst>
            <c:ext xmlns:c16="http://schemas.microsoft.com/office/drawing/2014/chart" uri="{C3380CC4-5D6E-409C-BE32-E72D297353CC}">
              <c16:uniqueId val="{00000005-57FE-4961-A068-DF4B347EED6D}"/>
            </c:ext>
          </c:extLst>
        </c:ser>
        <c:ser>
          <c:idx val="3"/>
          <c:order val="3"/>
          <c:tx>
            <c:strRef>
              <c:f>'Resumen Total Movil'!$B$97</c:f>
              <c:strCache>
                <c:ptCount val="1"/>
                <c:pt idx="0">
                  <c:v>Web</c:v>
                </c:pt>
              </c:strCache>
            </c:strRef>
          </c:tx>
          <c:spPr>
            <a:solidFill>
              <a:schemeClr val="accent4"/>
            </a:solidFill>
            <a:ln>
              <a:noFill/>
            </a:ln>
            <a:effectLst/>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Movil'!$C$93:$F$93</c:f>
              <c:strCache>
                <c:ptCount val="4"/>
                <c:pt idx="0">
                  <c:v>Avance Modelo Negocio</c:v>
                </c:pt>
                <c:pt idx="1">
                  <c:v>Avance Modelo Tecnico</c:v>
                </c:pt>
                <c:pt idx="2">
                  <c:v>Avance Automatización Temprana</c:v>
                </c:pt>
                <c:pt idx="3">
                  <c:v>Avance Estructura Técnica</c:v>
                </c:pt>
              </c:strCache>
            </c:strRef>
          </c:cat>
          <c:val>
            <c:numRef>
              <c:f>'Resumen Total Movil'!$C$97:$F$97</c:f>
              <c:numCache>
                <c:formatCode>0%</c:formatCode>
                <c:ptCount val="4"/>
                <c:pt idx="0">
                  <c:v>0</c:v>
                </c:pt>
                <c:pt idx="1">
                  <c:v>0</c:v>
                </c:pt>
                <c:pt idx="2">
                  <c:v>0</c:v>
                </c:pt>
                <c:pt idx="3">
                  <c:v>0</c:v>
                </c:pt>
              </c:numCache>
            </c:numRef>
          </c:val>
          <c:extLst>
            <c:ext xmlns:c16="http://schemas.microsoft.com/office/drawing/2014/chart" uri="{C3380CC4-5D6E-409C-BE32-E72D297353CC}">
              <c16:uniqueId val="{00000007-57FE-4961-A068-DF4B347EED6D}"/>
            </c:ext>
          </c:extLst>
        </c:ser>
        <c:dLbls>
          <c:dLblPos val="outEnd"/>
          <c:showLegendKey val="0"/>
          <c:showVal val="1"/>
          <c:showCatName val="0"/>
          <c:showSerName val="0"/>
          <c:showPercent val="0"/>
          <c:showBubbleSize val="0"/>
        </c:dLbls>
        <c:gapWidth val="219"/>
        <c:overlap val="-27"/>
        <c:axId val="218988032"/>
        <c:axId val="218941696"/>
      </c:barChart>
      <c:catAx>
        <c:axId val="21898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18941696"/>
        <c:crosses val="autoZero"/>
        <c:auto val="1"/>
        <c:lblAlgn val="ctr"/>
        <c:lblOffset val="100"/>
        <c:noMultiLvlLbl val="0"/>
      </c:catAx>
      <c:valAx>
        <c:axId val="21894169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18988032"/>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vert="horz"/>
          <a:lstStyle/>
          <a:p>
            <a:pPr>
              <a:defRPr/>
            </a:pPr>
            <a:r>
              <a:rPr lang="en-US"/>
              <a:t>Avance Total Automatización Tarjeta de Credito</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invertIfNegative val="0"/>
          <c:dPt>
            <c:idx val="0"/>
            <c:invertIfNegative val="0"/>
            <c:bubble3D val="0"/>
            <c:spPr>
              <a:solidFill>
                <a:schemeClr val="tx2">
                  <a:lumMod val="60000"/>
                  <a:lumOff val="40000"/>
                </a:schemeClr>
              </a:solidFill>
            </c:spPr>
            <c:extLst>
              <c:ext xmlns:c16="http://schemas.microsoft.com/office/drawing/2014/chart" uri="{C3380CC4-5D6E-409C-BE32-E72D297353CC}">
                <c16:uniqueId val="{00000001-F8E8-4A65-A6A3-04195115116D}"/>
              </c:ext>
            </c:extLst>
          </c:dPt>
          <c:dPt>
            <c:idx val="1"/>
            <c:invertIfNegative val="0"/>
            <c:bubble3D val="0"/>
            <c:spPr>
              <a:solidFill>
                <a:schemeClr val="accent2">
                  <a:lumMod val="75000"/>
                </a:schemeClr>
              </a:solidFill>
            </c:spPr>
            <c:extLst>
              <c:ext xmlns:c16="http://schemas.microsoft.com/office/drawing/2014/chart" uri="{C3380CC4-5D6E-409C-BE32-E72D297353CC}">
                <c16:uniqueId val="{00000003-F8E8-4A65-A6A3-04195115116D}"/>
              </c:ext>
            </c:extLst>
          </c:dPt>
          <c:dPt>
            <c:idx val="3"/>
            <c:invertIfNegative val="0"/>
            <c:bubble3D val="0"/>
            <c:spPr>
              <a:solidFill>
                <a:schemeClr val="accent5">
                  <a:lumMod val="75000"/>
                </a:schemeClr>
              </a:solidFill>
            </c:spPr>
            <c:extLst>
              <c:ext xmlns:c16="http://schemas.microsoft.com/office/drawing/2014/chart" uri="{C3380CC4-5D6E-409C-BE32-E72D297353CC}">
                <c16:uniqueId val="{00000005-9A75-48A6-B0AF-180CB9538CB2}"/>
              </c:ext>
            </c:extLst>
          </c:dPt>
          <c:dPt>
            <c:idx val="4"/>
            <c:invertIfNegative val="0"/>
            <c:bubble3D val="0"/>
            <c:spPr>
              <a:solidFill>
                <a:schemeClr val="accent6">
                  <a:lumMod val="75000"/>
                </a:schemeClr>
              </a:solidFill>
            </c:spPr>
            <c:extLst>
              <c:ext xmlns:c16="http://schemas.microsoft.com/office/drawing/2014/chart" uri="{C3380CC4-5D6E-409C-BE32-E72D297353CC}">
                <c16:uniqueId val="{00000005-F8E8-4A65-A6A3-04195115116D}"/>
              </c:ext>
            </c:extLst>
          </c:dPt>
          <c:dLbls>
            <c:spPr>
              <a:noFill/>
              <a:ln>
                <a:noFill/>
              </a:ln>
              <a:effectLst/>
            </c:spPr>
            <c:txPr>
              <a:bodyPr rot="0" vert="horz"/>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'Resumen Total Movil'!$B$94:$B$98</c:f>
              <c:strCache>
                <c:ptCount val="5"/>
                <c:pt idx="0">
                  <c:v>Android</c:v>
                </c:pt>
                <c:pt idx="1">
                  <c:v>IOS</c:v>
                </c:pt>
                <c:pt idx="2">
                  <c:v>Tablet</c:v>
                </c:pt>
                <c:pt idx="3">
                  <c:v>Web</c:v>
                </c:pt>
                <c:pt idx="4">
                  <c:v>Total</c:v>
                </c:pt>
              </c:strCache>
            </c:strRef>
          </c:cat>
          <c:val>
            <c:numRef>
              <c:f>'Resumen Total Movil'!$G$94:$G$98</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2DD5-4DFC-80BF-5B7171EF11AD}"/>
            </c:ext>
          </c:extLst>
        </c:ser>
        <c:dLbls>
          <c:showLegendKey val="0"/>
          <c:showVal val="1"/>
          <c:showCatName val="0"/>
          <c:showSerName val="0"/>
          <c:showPercent val="0"/>
          <c:showBubbleSize val="0"/>
        </c:dLbls>
        <c:gapWidth val="219"/>
        <c:shape val="cylinder"/>
        <c:axId val="219195392"/>
        <c:axId val="218944000"/>
        <c:axId val="0"/>
      </c:bar3DChart>
      <c:catAx>
        <c:axId val="219195392"/>
        <c:scaling>
          <c:orientation val="minMax"/>
        </c:scaling>
        <c:delete val="0"/>
        <c:axPos val="b"/>
        <c:numFmt formatCode="General" sourceLinked="1"/>
        <c:majorTickMark val="none"/>
        <c:minorTickMark val="none"/>
        <c:tickLblPos val="nextTo"/>
        <c:txPr>
          <a:bodyPr rot="-60000000" vert="horz"/>
          <a:lstStyle/>
          <a:p>
            <a:pPr>
              <a:defRPr/>
            </a:pPr>
            <a:endParaRPr lang="es-CO"/>
          </a:p>
        </c:txPr>
        <c:crossAx val="218944000"/>
        <c:crosses val="autoZero"/>
        <c:auto val="1"/>
        <c:lblAlgn val="ctr"/>
        <c:lblOffset val="100"/>
        <c:noMultiLvlLbl val="0"/>
      </c:catAx>
      <c:valAx>
        <c:axId val="218944000"/>
        <c:scaling>
          <c:orientation val="minMax"/>
          <c:max val="1"/>
        </c:scaling>
        <c:delete val="0"/>
        <c:axPos val="l"/>
        <c:numFmt formatCode="0%" sourceLinked="0"/>
        <c:majorTickMark val="none"/>
        <c:minorTickMark val="none"/>
        <c:tickLblPos val="nextTo"/>
        <c:txPr>
          <a:bodyPr rot="-60000000" vert="horz"/>
          <a:lstStyle/>
          <a:p>
            <a:pPr>
              <a:defRPr/>
            </a:pPr>
            <a:endParaRPr lang="es-CO"/>
          </a:p>
        </c:txPr>
        <c:crossAx val="219195392"/>
        <c:crosses val="autoZero"/>
        <c:crossBetween val="between"/>
        <c:majorUnit val="0.2"/>
      </c:valAx>
    </c:plotArea>
    <c:legend>
      <c:legendPos val="r"/>
      <c:overlay val="0"/>
      <c:txPr>
        <a:bodyPr rot="0" vert="horz"/>
        <a:lstStyle/>
        <a:p>
          <a:pPr>
            <a:defRPr/>
          </a:pPr>
          <a:endParaRPr lang="es-CO"/>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a:lstStyle/>
          <a:p>
            <a:pPr>
              <a:defRPr/>
            </a:pPr>
            <a:r>
              <a:rPr lang="es-CO"/>
              <a:t>VISIÓN</a:t>
            </a:r>
            <a:r>
              <a:rPr lang="es-CO" baseline="0"/>
              <a:t> GENERAL FLUJOS AUTO TARJETA DE CREDITO</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invertIfNegative val="0"/>
          <c:dPt>
            <c:idx val="0"/>
            <c:invertIfNegative val="0"/>
            <c:bubble3D val="0"/>
            <c:spPr>
              <a:solidFill>
                <a:schemeClr val="tx2">
                  <a:lumMod val="60000"/>
                  <a:lumOff val="40000"/>
                </a:schemeClr>
              </a:solidFill>
            </c:spPr>
            <c:extLst>
              <c:ext xmlns:c16="http://schemas.microsoft.com/office/drawing/2014/chart" uri="{C3380CC4-5D6E-409C-BE32-E72D297353CC}">
                <c16:uniqueId val="{00000001-FA10-4A67-A1E5-28E59B3B4F23}"/>
              </c:ext>
            </c:extLst>
          </c:dPt>
          <c:dPt>
            <c:idx val="1"/>
            <c:invertIfNegative val="0"/>
            <c:bubble3D val="0"/>
            <c:spPr>
              <a:solidFill>
                <a:schemeClr val="accent6">
                  <a:lumMod val="75000"/>
                </a:schemeClr>
              </a:solidFill>
            </c:spPr>
            <c:extLst>
              <c:ext xmlns:c16="http://schemas.microsoft.com/office/drawing/2014/chart" uri="{C3380CC4-5D6E-409C-BE32-E72D297353CC}">
                <c16:uniqueId val="{00000003-FA10-4A67-A1E5-28E59B3B4F23}"/>
              </c:ext>
            </c:extLst>
          </c:dPt>
          <c:dPt>
            <c:idx val="3"/>
            <c:invertIfNegative val="0"/>
            <c:bubble3D val="0"/>
            <c:spPr>
              <a:solidFill>
                <a:schemeClr val="accent3">
                  <a:lumMod val="75000"/>
                </a:schemeClr>
              </a:solidFill>
            </c:spPr>
            <c:extLst>
              <c:ext xmlns:c16="http://schemas.microsoft.com/office/drawing/2014/chart" uri="{C3380CC4-5D6E-409C-BE32-E72D297353CC}">
                <c16:uniqueId val="{00000005-FA10-4A67-A1E5-28E59B3B4F23}"/>
              </c:ext>
            </c:extLst>
          </c:dPt>
          <c:dPt>
            <c:idx val="4"/>
            <c:invertIfNegative val="0"/>
            <c:bubble3D val="0"/>
            <c:spPr>
              <a:solidFill>
                <a:schemeClr val="accent5">
                  <a:lumMod val="60000"/>
                  <a:lumOff val="40000"/>
                </a:schemeClr>
              </a:solidFill>
            </c:spPr>
            <c:extLst>
              <c:ext xmlns:c16="http://schemas.microsoft.com/office/drawing/2014/chart" uri="{C3380CC4-5D6E-409C-BE32-E72D297353CC}">
                <c16:uniqueId val="{00000007-FA10-4A67-A1E5-28E59B3B4F23}"/>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Movil'!$C$93:$G$93</c:f>
              <c:strCache>
                <c:ptCount val="5"/>
                <c:pt idx="0">
                  <c:v>Avance Modelo Negocio</c:v>
                </c:pt>
                <c:pt idx="1">
                  <c:v>Avance Modelo Tecnico</c:v>
                </c:pt>
                <c:pt idx="2">
                  <c:v>Avance Automatización Temprana</c:v>
                </c:pt>
                <c:pt idx="3">
                  <c:v>Avance Estructura Técnica</c:v>
                </c:pt>
                <c:pt idx="4">
                  <c:v>Avance Total</c:v>
                </c:pt>
              </c:strCache>
            </c:strRef>
          </c:cat>
          <c:val>
            <c:numRef>
              <c:f>'Resumen Total Movil'!$C$98:$G$98</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8-FA10-4A67-A1E5-28E59B3B4F23}"/>
            </c:ext>
          </c:extLst>
        </c:ser>
        <c:dLbls>
          <c:showLegendKey val="0"/>
          <c:showVal val="1"/>
          <c:showCatName val="0"/>
          <c:showSerName val="0"/>
          <c:showPercent val="0"/>
          <c:showBubbleSize val="0"/>
        </c:dLbls>
        <c:gapWidth val="150"/>
        <c:shape val="box"/>
        <c:axId val="218644480"/>
        <c:axId val="218945728"/>
        <c:axId val="0"/>
      </c:bar3DChart>
      <c:catAx>
        <c:axId val="218644480"/>
        <c:scaling>
          <c:orientation val="minMax"/>
        </c:scaling>
        <c:delete val="1"/>
        <c:axPos val="b"/>
        <c:numFmt formatCode="General" sourceLinked="0"/>
        <c:majorTickMark val="out"/>
        <c:minorTickMark val="none"/>
        <c:tickLblPos val="nextTo"/>
        <c:crossAx val="218945728"/>
        <c:crosses val="autoZero"/>
        <c:auto val="1"/>
        <c:lblAlgn val="ctr"/>
        <c:lblOffset val="100"/>
        <c:noMultiLvlLbl val="0"/>
      </c:catAx>
      <c:valAx>
        <c:axId val="218945728"/>
        <c:scaling>
          <c:orientation val="minMax"/>
          <c:max val="1"/>
        </c:scaling>
        <c:delete val="0"/>
        <c:axPos val="l"/>
        <c:numFmt formatCode="0%" sourceLinked="1"/>
        <c:majorTickMark val="out"/>
        <c:minorTickMark val="none"/>
        <c:tickLblPos val="nextTo"/>
        <c:crossAx val="218644480"/>
        <c:crosses val="autoZero"/>
        <c:crossBetween val="between"/>
        <c:majorUnit val="0.2"/>
      </c:valAx>
    </c:plotArea>
    <c:legend>
      <c:legendPos val="b"/>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a:lstStyle/>
          <a:p>
            <a:pPr>
              <a:defRPr/>
            </a:pPr>
            <a:r>
              <a:rPr lang="es-CO" sz="1800" b="1" i="0" baseline="0">
                <a:effectLst/>
              </a:rPr>
              <a:t>Resumen Automatización Onboarding Tobe</a:t>
            </a:r>
            <a:endParaRPr lang="es-CO">
              <a:effectLst/>
            </a:endParaRPr>
          </a:p>
        </c:rich>
      </c:tx>
      <c:overlay val="0"/>
    </c:title>
    <c:autoTitleDeleted val="0"/>
    <c:plotArea>
      <c:layout/>
      <c:barChart>
        <c:barDir val="col"/>
        <c:grouping val="clustered"/>
        <c:varyColors val="0"/>
        <c:ser>
          <c:idx val="0"/>
          <c:order val="0"/>
          <c:tx>
            <c:strRef>
              <c:f>'Resumen Total Movil'!$R$3</c:f>
              <c:strCache>
                <c:ptCount val="1"/>
                <c:pt idx="0">
                  <c:v>Flujos Negativos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Movil'!$S$2:$V$2</c:f>
              <c:strCache>
                <c:ptCount val="4"/>
                <c:pt idx="0">
                  <c:v>Credito Personal</c:v>
                </c:pt>
                <c:pt idx="1">
                  <c:v>TC</c:v>
                </c:pt>
                <c:pt idx="2">
                  <c:v>Nomina</c:v>
                </c:pt>
                <c:pt idx="3">
                  <c:v>Ahorros</c:v>
                </c:pt>
              </c:strCache>
            </c:strRef>
          </c:cat>
          <c:val>
            <c:numRef>
              <c:f>'Resumen Total Movil'!$S$3:$V$3</c:f>
              <c:numCache>
                <c:formatCode>0%</c:formatCode>
                <c:ptCount val="4"/>
                <c:pt idx="0">
                  <c:v>0</c:v>
                </c:pt>
                <c:pt idx="1">
                  <c:v>0</c:v>
                </c:pt>
                <c:pt idx="2">
                  <c:v>0</c:v>
                </c:pt>
                <c:pt idx="3">
                  <c:v>0</c:v>
                </c:pt>
              </c:numCache>
            </c:numRef>
          </c:val>
          <c:extLst>
            <c:ext xmlns:c16="http://schemas.microsoft.com/office/drawing/2014/chart" uri="{C3380CC4-5D6E-409C-BE32-E72D297353CC}">
              <c16:uniqueId val="{00000000-D0EA-4FC2-95AD-771DEAF7B0C3}"/>
            </c:ext>
          </c:extLst>
        </c:ser>
        <c:ser>
          <c:idx val="1"/>
          <c:order val="1"/>
          <c:tx>
            <c:strRef>
              <c:f>'Resumen Total Movil'!$R$4</c:f>
              <c:strCache>
                <c:ptCount val="1"/>
                <c:pt idx="0">
                  <c:v>Flujos Alternos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Movil'!$S$2:$V$2</c:f>
              <c:strCache>
                <c:ptCount val="4"/>
                <c:pt idx="0">
                  <c:v>Credito Personal</c:v>
                </c:pt>
                <c:pt idx="1">
                  <c:v>TC</c:v>
                </c:pt>
                <c:pt idx="2">
                  <c:v>Nomina</c:v>
                </c:pt>
                <c:pt idx="3">
                  <c:v>Ahorros</c:v>
                </c:pt>
              </c:strCache>
            </c:strRef>
          </c:cat>
          <c:val>
            <c:numRef>
              <c:f>'Resumen Total Movil'!$S$4:$V$4</c:f>
              <c:numCache>
                <c:formatCode>0%</c:formatCode>
                <c:ptCount val="4"/>
                <c:pt idx="0">
                  <c:v>0</c:v>
                </c:pt>
                <c:pt idx="1">
                  <c:v>0</c:v>
                </c:pt>
                <c:pt idx="2">
                  <c:v>0</c:v>
                </c:pt>
                <c:pt idx="3">
                  <c:v>0</c:v>
                </c:pt>
              </c:numCache>
            </c:numRef>
          </c:val>
          <c:extLst>
            <c:ext xmlns:c16="http://schemas.microsoft.com/office/drawing/2014/chart" uri="{C3380CC4-5D6E-409C-BE32-E72D297353CC}">
              <c16:uniqueId val="{00000001-D0EA-4FC2-95AD-771DEAF7B0C3}"/>
            </c:ext>
          </c:extLst>
        </c:ser>
        <c:ser>
          <c:idx val="2"/>
          <c:order val="2"/>
          <c:tx>
            <c:strRef>
              <c:f>'Resumen Total Movil'!$R$5</c:f>
              <c:strCache>
                <c:ptCount val="1"/>
                <c:pt idx="0">
                  <c:v>Flujos Funcionales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Movil'!$S$2:$V$2</c:f>
              <c:strCache>
                <c:ptCount val="4"/>
                <c:pt idx="0">
                  <c:v>Credito Personal</c:v>
                </c:pt>
                <c:pt idx="1">
                  <c:v>TC</c:v>
                </c:pt>
                <c:pt idx="2">
                  <c:v>Nomina</c:v>
                </c:pt>
                <c:pt idx="3">
                  <c:v>Ahorros</c:v>
                </c:pt>
              </c:strCache>
            </c:strRef>
          </c:cat>
          <c:val>
            <c:numRef>
              <c:f>'Resumen Total Movil'!$S$5:$V$5</c:f>
              <c:numCache>
                <c:formatCode>0%</c:formatCode>
                <c:ptCount val="4"/>
                <c:pt idx="0">
                  <c:v>0</c:v>
                </c:pt>
                <c:pt idx="1">
                  <c:v>0</c:v>
                </c:pt>
                <c:pt idx="2">
                  <c:v>0</c:v>
                </c:pt>
                <c:pt idx="3">
                  <c:v>0</c:v>
                </c:pt>
              </c:numCache>
            </c:numRef>
          </c:val>
          <c:extLst>
            <c:ext xmlns:c16="http://schemas.microsoft.com/office/drawing/2014/chart" uri="{C3380CC4-5D6E-409C-BE32-E72D297353CC}">
              <c16:uniqueId val="{00000002-D0EA-4FC2-95AD-771DEAF7B0C3}"/>
            </c:ext>
          </c:extLst>
        </c:ser>
        <c:dLbls>
          <c:dLblPos val="outEnd"/>
          <c:showLegendKey val="0"/>
          <c:showVal val="1"/>
          <c:showCatName val="0"/>
          <c:showSerName val="0"/>
          <c:showPercent val="0"/>
          <c:showBubbleSize val="0"/>
        </c:dLbls>
        <c:gapWidth val="150"/>
        <c:axId val="153771008"/>
        <c:axId val="151540224"/>
      </c:barChart>
      <c:catAx>
        <c:axId val="153771008"/>
        <c:scaling>
          <c:orientation val="minMax"/>
        </c:scaling>
        <c:delete val="0"/>
        <c:axPos val="b"/>
        <c:numFmt formatCode="General" sourceLinked="0"/>
        <c:majorTickMark val="out"/>
        <c:minorTickMark val="none"/>
        <c:tickLblPos val="nextTo"/>
        <c:crossAx val="151540224"/>
        <c:crosses val="autoZero"/>
        <c:auto val="1"/>
        <c:lblAlgn val="ctr"/>
        <c:lblOffset val="100"/>
        <c:noMultiLvlLbl val="0"/>
      </c:catAx>
      <c:valAx>
        <c:axId val="151540224"/>
        <c:scaling>
          <c:orientation val="minMax"/>
        </c:scaling>
        <c:delete val="0"/>
        <c:axPos val="l"/>
        <c:numFmt formatCode="0%" sourceLinked="1"/>
        <c:majorTickMark val="out"/>
        <c:minorTickMark val="none"/>
        <c:tickLblPos val="nextTo"/>
        <c:crossAx val="153771008"/>
        <c:crosses val="autoZero"/>
        <c:crossBetween val="between"/>
        <c:majorUnit val="0.1"/>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a:lstStyle/>
          <a:p>
            <a:pPr>
              <a:defRPr/>
            </a:pPr>
            <a:r>
              <a:rPr lang="es-CO" sz="1800" b="1" i="0" baseline="0">
                <a:effectLst/>
              </a:rPr>
              <a:t>Resumen Automatización Onboarding Tobe</a:t>
            </a:r>
            <a:endParaRPr lang="es-CO">
              <a:effectLst/>
            </a:endParaRPr>
          </a:p>
        </c:rich>
      </c:tx>
      <c:overlay val="0"/>
    </c:title>
    <c:autoTitleDeleted val="0"/>
    <c:plotArea>
      <c:layout/>
      <c:barChart>
        <c:barDir val="col"/>
        <c:grouping val="clustered"/>
        <c:varyColors val="0"/>
        <c:ser>
          <c:idx val="0"/>
          <c:order val="0"/>
          <c:tx>
            <c:strRef>
              <c:f>'Resumen Total Movil'!$Z$3</c:f>
              <c:strCache>
                <c:ptCount val="1"/>
                <c:pt idx="0">
                  <c:v>Flujos Negativos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Movil'!$AA$2:$AE$2</c:f>
              <c:strCache>
                <c:ptCount val="5"/>
                <c:pt idx="0">
                  <c:v>Credito Personal CE</c:v>
                </c:pt>
                <c:pt idx="1">
                  <c:v>TC CE</c:v>
                </c:pt>
                <c:pt idx="2">
                  <c:v>Nomina CE</c:v>
                </c:pt>
                <c:pt idx="3">
                  <c:v>Ahorros CE</c:v>
                </c:pt>
                <c:pt idx="4">
                  <c:v>Credito Rotativo CE</c:v>
                </c:pt>
              </c:strCache>
            </c:strRef>
          </c:cat>
          <c:val>
            <c:numRef>
              <c:f>'Resumen Total Movil'!$AA$3:$AE$3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C91-734A-984F-FA9BF8A13C39}"/>
            </c:ext>
          </c:extLst>
        </c:ser>
        <c:ser>
          <c:idx val="1"/>
          <c:order val="1"/>
          <c:tx>
            <c:strRef>
              <c:f>'Resumen Total Movil'!$Z$4</c:f>
              <c:strCache>
                <c:ptCount val="1"/>
                <c:pt idx="0">
                  <c:v>Flujos Alternos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Movil'!$AA$2:$AE$2</c:f>
              <c:strCache>
                <c:ptCount val="5"/>
                <c:pt idx="0">
                  <c:v>Credito Personal CE</c:v>
                </c:pt>
                <c:pt idx="1">
                  <c:v>TC CE</c:v>
                </c:pt>
                <c:pt idx="2">
                  <c:v>Nomina CE</c:v>
                </c:pt>
                <c:pt idx="3">
                  <c:v>Ahorros CE</c:v>
                </c:pt>
                <c:pt idx="4">
                  <c:v>Credito Rotativo CE</c:v>
                </c:pt>
              </c:strCache>
            </c:strRef>
          </c:cat>
          <c:val>
            <c:numRef>
              <c:f>'Resumen Total Movil'!$AA$4:$AE$4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C91-734A-984F-FA9BF8A13C39}"/>
            </c:ext>
          </c:extLst>
        </c:ser>
        <c:ser>
          <c:idx val="2"/>
          <c:order val="2"/>
          <c:tx>
            <c:strRef>
              <c:f>'Resumen Total Movil'!$Z$5</c:f>
              <c:strCache>
                <c:ptCount val="1"/>
                <c:pt idx="0">
                  <c:v>Flujos Funcionales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Movil'!$AA$2:$AE$2</c:f>
              <c:strCache>
                <c:ptCount val="5"/>
                <c:pt idx="0">
                  <c:v>Credito Personal CE</c:v>
                </c:pt>
                <c:pt idx="1">
                  <c:v>TC CE</c:v>
                </c:pt>
                <c:pt idx="2">
                  <c:v>Nomina CE</c:v>
                </c:pt>
                <c:pt idx="3">
                  <c:v>Ahorros CE</c:v>
                </c:pt>
                <c:pt idx="4">
                  <c:v>Credito Rotativo CE</c:v>
                </c:pt>
              </c:strCache>
            </c:strRef>
          </c:cat>
          <c:val>
            <c:numRef>
              <c:f>'Resumen Total Movil'!$AA$5:$AE$5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C91-734A-984F-FA9BF8A13C39}"/>
            </c:ext>
          </c:extLst>
        </c:ser>
        <c:dLbls>
          <c:dLblPos val="outEnd"/>
          <c:showLegendKey val="0"/>
          <c:showVal val="1"/>
          <c:showCatName val="0"/>
          <c:showSerName val="0"/>
          <c:showPercent val="0"/>
          <c:showBubbleSize val="0"/>
        </c:dLbls>
        <c:gapWidth val="150"/>
        <c:axId val="153771008"/>
        <c:axId val="151540224"/>
      </c:barChart>
      <c:catAx>
        <c:axId val="153771008"/>
        <c:scaling>
          <c:orientation val="minMax"/>
        </c:scaling>
        <c:delete val="0"/>
        <c:axPos val="b"/>
        <c:numFmt formatCode="General" sourceLinked="0"/>
        <c:majorTickMark val="out"/>
        <c:minorTickMark val="none"/>
        <c:tickLblPos val="nextTo"/>
        <c:crossAx val="151540224"/>
        <c:crosses val="autoZero"/>
        <c:auto val="1"/>
        <c:lblAlgn val="ctr"/>
        <c:lblOffset val="100"/>
        <c:noMultiLvlLbl val="0"/>
      </c:catAx>
      <c:valAx>
        <c:axId val="151540224"/>
        <c:scaling>
          <c:orientation val="minMax"/>
          <c:max val="1"/>
        </c:scaling>
        <c:delete val="0"/>
        <c:axPos val="l"/>
        <c:numFmt formatCode="0%" sourceLinked="1"/>
        <c:majorTickMark val="out"/>
        <c:minorTickMark val="none"/>
        <c:tickLblPos val="nextTo"/>
        <c:crossAx val="153771008"/>
        <c:crosses val="autoZero"/>
        <c:crossBetween val="between"/>
        <c:majorUnit val="0.1"/>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a:lstStyle/>
          <a:p>
            <a:pPr>
              <a:defRPr/>
            </a:pPr>
            <a:r>
              <a:rPr lang="en-US" sz="1800" b="1" i="0" baseline="0">
                <a:effectLst/>
              </a:rPr>
              <a:t>Resumen Automatización Onboarding Cliente Nuevo</a:t>
            </a:r>
            <a:endParaRPr lang="en-US">
              <a:effectLst/>
            </a:endParaRPr>
          </a:p>
        </c:rich>
      </c:tx>
      <c:overlay val="0"/>
    </c:title>
    <c:autoTitleDeleted val="0"/>
    <c:plotArea>
      <c:layout/>
      <c:barChart>
        <c:barDir val="col"/>
        <c:grouping val="clustered"/>
        <c:varyColors val="0"/>
        <c:ser>
          <c:idx val="0"/>
          <c:order val="0"/>
          <c:tx>
            <c:strRef>
              <c:f>'Resumen Total Movil'!$R$3</c:f>
              <c:strCache>
                <c:ptCount val="1"/>
                <c:pt idx="0">
                  <c:v>Flujos Negativos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Movil'!$S$2:$V$2</c:f>
              <c:strCache>
                <c:ptCount val="4"/>
                <c:pt idx="0">
                  <c:v>Credito Personal</c:v>
                </c:pt>
                <c:pt idx="1">
                  <c:v>TC</c:v>
                </c:pt>
                <c:pt idx="2">
                  <c:v>Nomina</c:v>
                </c:pt>
                <c:pt idx="3">
                  <c:v>Ahorros</c:v>
                </c:pt>
              </c:strCache>
            </c:strRef>
          </c:cat>
          <c:val>
            <c:numRef>
              <c:f>'Resumen Total Movil'!$S$3:$V$3</c:f>
              <c:numCache>
                <c:formatCode>0%</c:formatCode>
                <c:ptCount val="4"/>
                <c:pt idx="0">
                  <c:v>0</c:v>
                </c:pt>
                <c:pt idx="1">
                  <c:v>0</c:v>
                </c:pt>
                <c:pt idx="2">
                  <c:v>0</c:v>
                </c:pt>
                <c:pt idx="3">
                  <c:v>0</c:v>
                </c:pt>
              </c:numCache>
            </c:numRef>
          </c:val>
          <c:extLst>
            <c:ext xmlns:c16="http://schemas.microsoft.com/office/drawing/2014/chart" uri="{C3380CC4-5D6E-409C-BE32-E72D297353CC}">
              <c16:uniqueId val="{00000000-5156-4CCE-B74E-4C5A3AC448B4}"/>
            </c:ext>
          </c:extLst>
        </c:ser>
        <c:ser>
          <c:idx val="1"/>
          <c:order val="1"/>
          <c:tx>
            <c:strRef>
              <c:f>'Resumen Total Movil'!$R$4</c:f>
              <c:strCache>
                <c:ptCount val="1"/>
                <c:pt idx="0">
                  <c:v>Flujos Alternos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Movil'!$S$2:$V$2</c:f>
              <c:strCache>
                <c:ptCount val="4"/>
                <c:pt idx="0">
                  <c:v>Credito Personal</c:v>
                </c:pt>
                <c:pt idx="1">
                  <c:v>TC</c:v>
                </c:pt>
                <c:pt idx="2">
                  <c:v>Nomina</c:v>
                </c:pt>
                <c:pt idx="3">
                  <c:v>Ahorros</c:v>
                </c:pt>
              </c:strCache>
            </c:strRef>
          </c:cat>
          <c:val>
            <c:numRef>
              <c:f>'Resumen Total Movil'!$S$4:$V$4</c:f>
              <c:numCache>
                <c:formatCode>0%</c:formatCode>
                <c:ptCount val="4"/>
                <c:pt idx="0">
                  <c:v>0</c:v>
                </c:pt>
                <c:pt idx="1">
                  <c:v>0</c:v>
                </c:pt>
                <c:pt idx="2">
                  <c:v>0</c:v>
                </c:pt>
                <c:pt idx="3">
                  <c:v>0</c:v>
                </c:pt>
              </c:numCache>
            </c:numRef>
          </c:val>
          <c:extLst>
            <c:ext xmlns:c16="http://schemas.microsoft.com/office/drawing/2014/chart" uri="{C3380CC4-5D6E-409C-BE32-E72D297353CC}">
              <c16:uniqueId val="{00000001-5156-4CCE-B74E-4C5A3AC448B4}"/>
            </c:ext>
          </c:extLst>
        </c:ser>
        <c:ser>
          <c:idx val="2"/>
          <c:order val="2"/>
          <c:tx>
            <c:strRef>
              <c:f>'Resumen Total Movil'!$R$5</c:f>
              <c:strCache>
                <c:ptCount val="1"/>
                <c:pt idx="0">
                  <c:v>Flujos Funcionales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Movil'!$S$2:$V$2</c:f>
              <c:strCache>
                <c:ptCount val="4"/>
                <c:pt idx="0">
                  <c:v>Credito Personal</c:v>
                </c:pt>
                <c:pt idx="1">
                  <c:v>TC</c:v>
                </c:pt>
                <c:pt idx="2">
                  <c:v>Nomina</c:v>
                </c:pt>
                <c:pt idx="3">
                  <c:v>Ahorros</c:v>
                </c:pt>
              </c:strCache>
            </c:strRef>
          </c:cat>
          <c:val>
            <c:numRef>
              <c:f>'Resumen Total Movil'!$S$5:$V$5</c:f>
              <c:numCache>
                <c:formatCode>0%</c:formatCode>
                <c:ptCount val="4"/>
                <c:pt idx="0">
                  <c:v>0</c:v>
                </c:pt>
                <c:pt idx="1">
                  <c:v>0</c:v>
                </c:pt>
                <c:pt idx="2">
                  <c:v>0</c:v>
                </c:pt>
                <c:pt idx="3">
                  <c:v>0</c:v>
                </c:pt>
              </c:numCache>
            </c:numRef>
          </c:val>
          <c:extLst>
            <c:ext xmlns:c16="http://schemas.microsoft.com/office/drawing/2014/chart" uri="{C3380CC4-5D6E-409C-BE32-E72D297353CC}">
              <c16:uniqueId val="{00000002-5156-4CCE-B74E-4C5A3AC448B4}"/>
            </c:ext>
          </c:extLst>
        </c:ser>
        <c:dLbls>
          <c:dLblPos val="outEnd"/>
          <c:showLegendKey val="0"/>
          <c:showVal val="1"/>
          <c:showCatName val="0"/>
          <c:showSerName val="0"/>
          <c:showPercent val="0"/>
          <c:showBubbleSize val="0"/>
        </c:dLbls>
        <c:gapWidth val="150"/>
        <c:axId val="137244672"/>
        <c:axId val="137159232"/>
      </c:barChart>
      <c:catAx>
        <c:axId val="137244672"/>
        <c:scaling>
          <c:orientation val="minMax"/>
        </c:scaling>
        <c:delete val="0"/>
        <c:axPos val="b"/>
        <c:numFmt formatCode="General" sourceLinked="0"/>
        <c:majorTickMark val="out"/>
        <c:minorTickMark val="none"/>
        <c:tickLblPos val="nextTo"/>
        <c:crossAx val="137159232"/>
        <c:crosses val="autoZero"/>
        <c:auto val="1"/>
        <c:lblAlgn val="ctr"/>
        <c:lblOffset val="100"/>
        <c:noMultiLvlLbl val="0"/>
      </c:catAx>
      <c:valAx>
        <c:axId val="137159232"/>
        <c:scaling>
          <c:orientation val="minMax"/>
          <c:max val="1"/>
        </c:scaling>
        <c:delete val="0"/>
        <c:axPos val="l"/>
        <c:numFmt formatCode="0%" sourceLinked="1"/>
        <c:majorTickMark val="out"/>
        <c:minorTickMark val="none"/>
        <c:tickLblPos val="nextTo"/>
        <c:crossAx val="137244672"/>
        <c:crosses val="autoZero"/>
        <c:crossBetween val="between"/>
        <c:maj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a:lstStyle/>
          <a:p>
            <a:pPr>
              <a:defRPr/>
            </a:pPr>
            <a:r>
              <a:rPr lang="es-CO"/>
              <a:t>Avance Ayer Automatización TC</a:t>
            </a:r>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0"/>
          <c:order val="0"/>
          <c:tx>
            <c:strRef>
              <c:f>Graficas!$B$25</c:f>
              <c:strCache>
                <c:ptCount val="1"/>
                <c:pt idx="0">
                  <c:v>Estimado, 2 flujos E2E</c:v>
                </c:pt>
              </c:strCache>
            </c:strRef>
          </c:tx>
          <c:invertIfNegative val="0"/>
          <c:dLbls>
            <c:dLbl>
              <c:idx val="0"/>
              <c:layout>
                <c:manualLayout>
                  <c:x val="1.4669924767543299E-2"/>
                  <c:y val="3.49854120320433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F39-423D-B900-FA17A05136C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Graficas!$C$24</c:f>
              <c:numCache>
                <c:formatCode>m/d/yy</c:formatCode>
                <c:ptCount val="1"/>
                <c:pt idx="0">
                  <c:v>44245</c:v>
                </c:pt>
              </c:numCache>
            </c:numRef>
          </c:cat>
          <c:val>
            <c:numRef>
              <c:f>Graficas!$C$25</c:f>
              <c:numCache>
                <c:formatCode>0%</c:formatCode>
                <c:ptCount val="1"/>
                <c:pt idx="0">
                  <c:v>1</c:v>
                </c:pt>
              </c:numCache>
            </c:numRef>
          </c:val>
          <c:extLst>
            <c:ext xmlns:c16="http://schemas.microsoft.com/office/drawing/2014/chart" uri="{C3380CC4-5D6E-409C-BE32-E72D297353CC}">
              <c16:uniqueId val="{00000001-AF39-423D-B900-FA17A05136C3}"/>
            </c:ext>
          </c:extLst>
        </c:ser>
        <c:ser>
          <c:idx val="1"/>
          <c:order val="1"/>
          <c:tx>
            <c:strRef>
              <c:f>Graficas!$D$24</c:f>
              <c:strCache>
                <c:ptCount val="1"/>
                <c:pt idx="0">
                  <c:v>Real, en progreso 6</c:v>
                </c:pt>
              </c:strCache>
            </c:strRef>
          </c:tx>
          <c:invertIfNegative val="0"/>
          <c:dLbls>
            <c:dLbl>
              <c:idx val="0"/>
              <c:layout>
                <c:manualLayout>
                  <c:x val="1.140994148586701E-2"/>
                  <c:y val="1.9436340017801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F39-423D-B900-FA17A05136C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Graficas!$D$25</c:f>
              <c:numCache>
                <c:formatCode>0%</c:formatCode>
                <c:ptCount val="1"/>
                <c:pt idx="0">
                  <c:v>0.4</c:v>
                </c:pt>
              </c:numCache>
            </c:numRef>
          </c:val>
          <c:extLst>
            <c:ext xmlns:c16="http://schemas.microsoft.com/office/drawing/2014/chart" uri="{C3380CC4-5D6E-409C-BE32-E72D297353CC}">
              <c16:uniqueId val="{00000003-AF39-423D-B900-FA17A05136C3}"/>
            </c:ext>
          </c:extLst>
        </c:ser>
        <c:dLbls>
          <c:showLegendKey val="0"/>
          <c:showVal val="1"/>
          <c:showCatName val="0"/>
          <c:showSerName val="0"/>
          <c:showPercent val="0"/>
          <c:showBubbleSize val="0"/>
        </c:dLbls>
        <c:gapWidth val="150"/>
        <c:shape val="box"/>
        <c:axId val="166625792"/>
        <c:axId val="235703680"/>
        <c:axId val="0"/>
      </c:bar3DChart>
      <c:dateAx>
        <c:axId val="166625792"/>
        <c:scaling>
          <c:orientation val="minMax"/>
        </c:scaling>
        <c:delete val="0"/>
        <c:axPos val="l"/>
        <c:numFmt formatCode="m/d/yy" sourceLinked="1"/>
        <c:majorTickMark val="out"/>
        <c:minorTickMark val="none"/>
        <c:tickLblPos val="nextTo"/>
        <c:crossAx val="235703680"/>
        <c:crosses val="autoZero"/>
        <c:auto val="1"/>
        <c:lblOffset val="100"/>
        <c:baseTimeUnit val="days"/>
      </c:dateAx>
      <c:valAx>
        <c:axId val="235703680"/>
        <c:scaling>
          <c:orientation val="minMax"/>
          <c:max val="1"/>
        </c:scaling>
        <c:delete val="0"/>
        <c:axPos val="b"/>
        <c:numFmt formatCode="0%" sourceLinked="1"/>
        <c:majorTickMark val="out"/>
        <c:minorTickMark val="none"/>
        <c:tickLblPos val="nextTo"/>
        <c:crossAx val="166625792"/>
        <c:crosses val="autoZero"/>
        <c:crossBetween val="between"/>
        <c:maj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Avance Automatización Crédito Personal</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Graficas!$B$43</c:f>
              <c:strCache>
                <c:ptCount val="1"/>
                <c:pt idx="0">
                  <c:v>Estimado, 2 flujos E2E</c:v>
                </c:pt>
              </c:strCache>
            </c:strRef>
          </c:tx>
          <c:invertIfNegative val="0"/>
          <c:dLbls>
            <c:dLbl>
              <c:idx val="0"/>
              <c:layout>
                <c:manualLayout>
                  <c:x val="3.809523809523809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DBF-4F45-AEFB-580BB349AEE5}"/>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Graficas!$C$42</c:f>
              <c:numCache>
                <c:formatCode>m/d/yy</c:formatCode>
                <c:ptCount val="1"/>
                <c:pt idx="0">
                  <c:v>44878</c:v>
                </c:pt>
              </c:numCache>
            </c:numRef>
          </c:cat>
          <c:val>
            <c:numRef>
              <c:f>Graficas!$C$43</c:f>
              <c:numCache>
                <c:formatCode>0%</c:formatCode>
                <c:ptCount val="1"/>
                <c:pt idx="0">
                  <c:v>1</c:v>
                </c:pt>
              </c:numCache>
            </c:numRef>
          </c:val>
          <c:extLst>
            <c:ext xmlns:c16="http://schemas.microsoft.com/office/drawing/2014/chart" uri="{C3380CC4-5D6E-409C-BE32-E72D297353CC}">
              <c16:uniqueId val="{00000001-5DBF-4F45-AEFB-580BB349AEE5}"/>
            </c:ext>
          </c:extLst>
        </c:ser>
        <c:ser>
          <c:idx val="1"/>
          <c:order val="1"/>
          <c:tx>
            <c:strRef>
              <c:f>Graficas!$D$42</c:f>
              <c:strCache>
                <c:ptCount val="1"/>
                <c:pt idx="0">
                  <c:v>Real, Se culmina estabilización flujos funcionales</c:v>
                </c:pt>
              </c:strCache>
            </c:strRef>
          </c:tx>
          <c:invertIfNegative val="0"/>
          <c:dLbls>
            <c:dLbl>
              <c:idx val="0"/>
              <c:layout>
                <c:manualLayout>
                  <c:x val="3.492063492063492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DBF-4F45-AEFB-580BB349AEE5}"/>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Graficas!$D$43</c:f>
              <c:numCache>
                <c:formatCode>0%</c:formatCode>
                <c:ptCount val="1"/>
                <c:pt idx="0">
                  <c:v>1</c:v>
                </c:pt>
              </c:numCache>
            </c:numRef>
          </c:val>
          <c:extLst>
            <c:ext xmlns:c16="http://schemas.microsoft.com/office/drawing/2014/chart" uri="{C3380CC4-5D6E-409C-BE32-E72D297353CC}">
              <c16:uniqueId val="{00000003-5DBF-4F45-AEFB-580BB349AEE5}"/>
            </c:ext>
          </c:extLst>
        </c:ser>
        <c:dLbls>
          <c:showLegendKey val="0"/>
          <c:showVal val="1"/>
          <c:showCatName val="0"/>
          <c:showSerName val="0"/>
          <c:showPercent val="0"/>
          <c:showBubbleSize val="0"/>
        </c:dLbls>
        <c:gapWidth val="150"/>
        <c:shape val="box"/>
        <c:axId val="169059328"/>
        <c:axId val="218620480"/>
        <c:axId val="0"/>
      </c:bar3DChart>
      <c:dateAx>
        <c:axId val="169059328"/>
        <c:scaling>
          <c:orientation val="minMax"/>
        </c:scaling>
        <c:delete val="0"/>
        <c:axPos val="l"/>
        <c:numFmt formatCode="m/d/yy" sourceLinked="1"/>
        <c:majorTickMark val="out"/>
        <c:minorTickMark val="none"/>
        <c:tickLblPos val="nextTo"/>
        <c:crossAx val="218620480"/>
        <c:crosses val="autoZero"/>
        <c:auto val="1"/>
        <c:lblOffset val="100"/>
        <c:baseTimeUnit val="days"/>
      </c:dateAx>
      <c:valAx>
        <c:axId val="218620480"/>
        <c:scaling>
          <c:orientation val="minMax"/>
        </c:scaling>
        <c:delete val="0"/>
        <c:axPos val="b"/>
        <c:numFmt formatCode="0%" sourceLinked="1"/>
        <c:majorTickMark val="out"/>
        <c:minorTickMark val="none"/>
        <c:tickLblPos val="nextTo"/>
        <c:crossAx val="169059328"/>
        <c:crosses val="autoZero"/>
        <c:crossBetween val="between"/>
        <c:maj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a:lstStyle/>
          <a:p>
            <a:pPr>
              <a:defRPr/>
            </a:pPr>
            <a:r>
              <a:rPr lang="es-CO" sz="1800" b="1" i="0" baseline="0">
                <a:effectLst/>
              </a:rPr>
              <a:t>Resumen Automatización Onboarding Cliente Existente</a:t>
            </a:r>
          </a:p>
        </c:rich>
      </c:tx>
      <c:overlay val="0"/>
    </c:title>
    <c:autoTitleDeleted val="0"/>
    <c:plotArea>
      <c:layout/>
      <c:barChart>
        <c:barDir val="col"/>
        <c:grouping val="clustered"/>
        <c:varyColors val="0"/>
        <c:ser>
          <c:idx val="0"/>
          <c:order val="0"/>
          <c:tx>
            <c:strRef>
              <c:f>'Resumen Total Movil'!$Z$3</c:f>
              <c:strCache>
                <c:ptCount val="1"/>
                <c:pt idx="0">
                  <c:v>Flujos Negativos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Movil'!$AA$2:$AE$2</c:f>
              <c:strCache>
                <c:ptCount val="5"/>
                <c:pt idx="0">
                  <c:v>Credito Personal CE</c:v>
                </c:pt>
                <c:pt idx="1">
                  <c:v>TC CE</c:v>
                </c:pt>
                <c:pt idx="2">
                  <c:v>Nomina CE</c:v>
                </c:pt>
                <c:pt idx="3">
                  <c:v>Ahorros CE</c:v>
                </c:pt>
                <c:pt idx="4">
                  <c:v>Credito Rotativo CE</c:v>
                </c:pt>
              </c:strCache>
            </c:strRef>
          </c:cat>
          <c:val>
            <c:numRef>
              <c:f>'Resumen Total Movil'!$AA$3:$AE$3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94F8-074E-9900-228E4FDEE210}"/>
            </c:ext>
          </c:extLst>
        </c:ser>
        <c:ser>
          <c:idx val="1"/>
          <c:order val="1"/>
          <c:tx>
            <c:strRef>
              <c:f>'Resumen Total Movil'!$Z$4</c:f>
              <c:strCache>
                <c:ptCount val="1"/>
                <c:pt idx="0">
                  <c:v>Flujos Alternos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Movil'!$AA$2:$AE$2</c:f>
              <c:strCache>
                <c:ptCount val="5"/>
                <c:pt idx="0">
                  <c:v>Credito Personal CE</c:v>
                </c:pt>
                <c:pt idx="1">
                  <c:v>TC CE</c:v>
                </c:pt>
                <c:pt idx="2">
                  <c:v>Nomina CE</c:v>
                </c:pt>
                <c:pt idx="3">
                  <c:v>Ahorros CE</c:v>
                </c:pt>
                <c:pt idx="4">
                  <c:v>Credito Rotativo CE</c:v>
                </c:pt>
              </c:strCache>
            </c:strRef>
          </c:cat>
          <c:val>
            <c:numRef>
              <c:f>'Resumen Total Movil'!$AA$4:$AE$4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4F8-074E-9900-228E4FDEE210}"/>
            </c:ext>
          </c:extLst>
        </c:ser>
        <c:ser>
          <c:idx val="2"/>
          <c:order val="2"/>
          <c:tx>
            <c:strRef>
              <c:f>'Resumen Total Movil'!$Z$5</c:f>
              <c:strCache>
                <c:ptCount val="1"/>
                <c:pt idx="0">
                  <c:v>Flujos Funcionales</c:v>
                </c:pt>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 Total Movil'!$AA$2:$AE$2</c:f>
              <c:strCache>
                <c:ptCount val="5"/>
                <c:pt idx="0">
                  <c:v>Credito Personal CE</c:v>
                </c:pt>
                <c:pt idx="1">
                  <c:v>TC CE</c:v>
                </c:pt>
                <c:pt idx="2">
                  <c:v>Nomina CE</c:v>
                </c:pt>
                <c:pt idx="3">
                  <c:v>Ahorros CE</c:v>
                </c:pt>
                <c:pt idx="4">
                  <c:v>Credito Rotativo CE</c:v>
                </c:pt>
              </c:strCache>
            </c:strRef>
          </c:cat>
          <c:val>
            <c:numRef>
              <c:f>'Resumen Total Movil'!$AA$5:$AE$5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94F8-074E-9900-228E4FDEE210}"/>
            </c:ext>
          </c:extLst>
        </c:ser>
        <c:dLbls>
          <c:dLblPos val="outEnd"/>
          <c:showLegendKey val="0"/>
          <c:showVal val="1"/>
          <c:showCatName val="0"/>
          <c:showSerName val="0"/>
          <c:showPercent val="0"/>
          <c:showBubbleSize val="0"/>
        </c:dLbls>
        <c:gapWidth val="150"/>
        <c:axId val="153771008"/>
        <c:axId val="151540224"/>
      </c:barChart>
      <c:catAx>
        <c:axId val="153771008"/>
        <c:scaling>
          <c:orientation val="minMax"/>
        </c:scaling>
        <c:delete val="0"/>
        <c:axPos val="b"/>
        <c:numFmt formatCode="General" sourceLinked="0"/>
        <c:majorTickMark val="out"/>
        <c:minorTickMark val="none"/>
        <c:tickLblPos val="nextTo"/>
        <c:crossAx val="151540224"/>
        <c:crosses val="autoZero"/>
        <c:auto val="1"/>
        <c:lblAlgn val="ctr"/>
        <c:lblOffset val="100"/>
        <c:noMultiLvlLbl val="0"/>
      </c:catAx>
      <c:valAx>
        <c:axId val="151540224"/>
        <c:scaling>
          <c:orientation val="minMax"/>
          <c:max val="1"/>
        </c:scaling>
        <c:delete val="0"/>
        <c:axPos val="l"/>
        <c:numFmt formatCode="0%" sourceLinked="1"/>
        <c:majorTickMark val="out"/>
        <c:minorTickMark val="none"/>
        <c:tickLblPos val="nextTo"/>
        <c:crossAx val="153771008"/>
        <c:crosses val="autoZero"/>
        <c:crossBetween val="between"/>
        <c:majorUnit val="0.2"/>
        <c:minorUnit val="4.0000000000000008E-2"/>
      </c:valAx>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Avance</a:t>
            </a:r>
            <a:r>
              <a:rPr lang="es-CO" baseline="0"/>
              <a:t> Diario Auto Temprana</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'Flujos Automatizados Movil'!$F$2:$F$3</c:f>
              <c:strCache>
                <c:ptCount val="2"/>
                <c:pt idx="0">
                  <c:v>Modelo de Negocio</c:v>
                </c:pt>
              </c:strCache>
            </c:strRef>
          </c:tx>
          <c:invertIfNegative val="0"/>
          <c:val>
            <c:numRef>
              <c:f>'Flujos Automatizados Movil'!$F$4:$F$8</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0-B199-4944-ACC4-2325C2E6FB38}"/>
            </c:ext>
          </c:extLst>
        </c:ser>
        <c:ser>
          <c:idx val="1"/>
          <c:order val="1"/>
          <c:tx>
            <c:strRef>
              <c:f>'Flujos Automatizados Movil'!$G$2:$G$3</c:f>
              <c:strCache>
                <c:ptCount val="2"/>
                <c:pt idx="0">
                  <c:v>Modelado Tecnico</c:v>
                </c:pt>
              </c:strCache>
            </c:strRef>
          </c:tx>
          <c:invertIfNegative val="0"/>
          <c:val>
            <c:numRef>
              <c:f>'Flujos Automatizados Movil'!$G$4:$G$8</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1-B199-4944-ACC4-2325C2E6FB38}"/>
            </c:ext>
          </c:extLst>
        </c:ser>
        <c:ser>
          <c:idx val="2"/>
          <c:order val="2"/>
          <c:tx>
            <c:strRef>
              <c:f>'Flujos Automatizados Movil'!$J$2:$J$3</c:f>
              <c:strCache>
                <c:ptCount val="2"/>
                <c:pt idx="0">
                  <c:v>Mapeo Objetos Android</c:v>
                </c:pt>
              </c:strCache>
            </c:strRef>
          </c:tx>
          <c:invertIfNegative val="0"/>
          <c:val>
            <c:numRef>
              <c:f>'Flujos Automatizados Movil'!$J$4:$J$8</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2-B199-4944-ACC4-2325C2E6FB38}"/>
            </c:ext>
          </c:extLst>
        </c:ser>
        <c:ser>
          <c:idx val="3"/>
          <c:order val="3"/>
          <c:tx>
            <c:strRef>
              <c:f>'Flujos Automatizados Movil'!$H$2:$H$3</c:f>
              <c:strCache>
                <c:ptCount val="2"/>
                <c:pt idx="0">
                  <c:v>% Avance Auto Temprana</c:v>
                </c:pt>
              </c:strCache>
            </c:strRef>
          </c:tx>
          <c:invertIfNegative val="0"/>
          <c:val>
            <c:numRef>
              <c:f>'Flujos Automatizados Movil'!$H$4:$H$8</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3-B199-4944-ACC4-2325C2E6FB38}"/>
            </c:ext>
          </c:extLst>
        </c:ser>
        <c:dLbls>
          <c:showLegendKey val="0"/>
          <c:showVal val="0"/>
          <c:showCatName val="0"/>
          <c:showSerName val="0"/>
          <c:showPercent val="0"/>
          <c:showBubbleSize val="0"/>
        </c:dLbls>
        <c:gapWidth val="150"/>
        <c:shape val="box"/>
        <c:axId val="219437568"/>
        <c:axId val="218626816"/>
        <c:axId val="0"/>
      </c:bar3DChart>
      <c:catAx>
        <c:axId val="219437568"/>
        <c:scaling>
          <c:orientation val="minMax"/>
        </c:scaling>
        <c:delete val="1"/>
        <c:axPos val="b"/>
        <c:majorTickMark val="out"/>
        <c:minorTickMark val="none"/>
        <c:tickLblPos val="nextTo"/>
        <c:crossAx val="218626816"/>
        <c:crosses val="autoZero"/>
        <c:auto val="1"/>
        <c:lblAlgn val="ctr"/>
        <c:lblOffset val="100"/>
        <c:noMultiLvlLbl val="0"/>
      </c:catAx>
      <c:valAx>
        <c:axId val="218626816"/>
        <c:scaling>
          <c:orientation val="minMax"/>
        </c:scaling>
        <c:delete val="0"/>
        <c:axPos val="l"/>
        <c:numFmt formatCode="0%" sourceLinked="1"/>
        <c:majorTickMark val="out"/>
        <c:minorTickMark val="none"/>
        <c:tickLblPos val="nextTo"/>
        <c:crossAx val="219437568"/>
        <c:crosses val="autoZero"/>
        <c:crossBetween val="between"/>
      </c:valAx>
      <c:dTable>
        <c:showHorzBorder val="0"/>
        <c:showVertBorder val="0"/>
        <c:showOutline val="1"/>
        <c:showKeys val="1"/>
      </c:dTable>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Estabilización Diaria Por Tecnologías</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'Flujos Automatizados Movil'!$K$3</c:f>
              <c:strCache>
                <c:ptCount val="1"/>
                <c:pt idx="0">
                  <c:v>Android</c:v>
                </c:pt>
              </c:strCache>
            </c:strRef>
          </c:tx>
          <c:invertIfNegative val="0"/>
          <c:val>
            <c:numRef>
              <c:f>'Flujos Automatizados Movil'!$K$4:$K$8</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0-2AA8-4AFB-9BB3-9FD61378EB79}"/>
            </c:ext>
          </c:extLst>
        </c:ser>
        <c:ser>
          <c:idx val="1"/>
          <c:order val="1"/>
          <c:tx>
            <c:strRef>
              <c:f>'Flujos Automatizados Movil'!$L$3</c:f>
              <c:strCache>
                <c:ptCount val="1"/>
                <c:pt idx="0">
                  <c:v>IOS</c:v>
                </c:pt>
              </c:strCache>
            </c:strRef>
          </c:tx>
          <c:invertIfNegative val="0"/>
          <c:val>
            <c:numRef>
              <c:f>'Flujos Automatizados Movil'!$L$4:$L$8</c:f>
              <c:numCache>
                <c:formatCode>0%</c:formatCode>
                <c:ptCount val="5"/>
                <c:pt idx="0">
                  <c:v>1</c:v>
                </c:pt>
                <c:pt idx="1">
                  <c:v>1</c:v>
                </c:pt>
                <c:pt idx="2">
                  <c:v>1</c:v>
                </c:pt>
                <c:pt idx="3">
                  <c:v>1</c:v>
                </c:pt>
                <c:pt idx="4">
                  <c:v>0.5</c:v>
                </c:pt>
              </c:numCache>
            </c:numRef>
          </c:val>
          <c:extLst>
            <c:ext xmlns:c16="http://schemas.microsoft.com/office/drawing/2014/chart" uri="{C3380CC4-5D6E-409C-BE32-E72D297353CC}">
              <c16:uniqueId val="{00000001-2AA8-4AFB-9BB3-9FD61378EB79}"/>
            </c:ext>
          </c:extLst>
        </c:ser>
        <c:ser>
          <c:idx val="2"/>
          <c:order val="2"/>
          <c:tx>
            <c:strRef>
              <c:f>'Flujos Automatizados Movil'!#REF!</c:f>
              <c:strCache>
                <c:ptCount val="1"/>
                <c:pt idx="0">
                  <c:v>#REF!</c:v>
                </c:pt>
              </c:strCache>
            </c:strRef>
          </c:tx>
          <c:invertIfNegative val="0"/>
          <c:val>
            <c:numRef>
              <c:f>'Flujos Automatizados Movil'!#REF!</c:f>
              <c:numCache>
                <c:formatCode>General</c:formatCode>
                <c:ptCount val="1"/>
                <c:pt idx="0">
                  <c:v>1</c:v>
                </c:pt>
              </c:numCache>
            </c:numRef>
          </c:val>
          <c:extLst>
            <c:ext xmlns:c16="http://schemas.microsoft.com/office/drawing/2014/chart" uri="{C3380CC4-5D6E-409C-BE32-E72D297353CC}">
              <c16:uniqueId val="{00000002-2AA8-4AFB-9BB3-9FD61378EB79}"/>
            </c:ext>
          </c:extLst>
        </c:ser>
        <c:ser>
          <c:idx val="3"/>
          <c:order val="3"/>
          <c:tx>
            <c:strRef>
              <c:f>'Flujos Automatizados Movil'!#REF!</c:f>
              <c:strCache>
                <c:ptCount val="1"/>
                <c:pt idx="0">
                  <c:v>#REF!</c:v>
                </c:pt>
              </c:strCache>
            </c:strRef>
          </c:tx>
          <c:invertIfNegative val="0"/>
          <c:val>
            <c:numRef>
              <c:f>'Flujos Automatizados Movil'!#REF!</c:f>
              <c:numCache>
                <c:formatCode>General</c:formatCode>
                <c:ptCount val="1"/>
                <c:pt idx="0">
                  <c:v>1</c:v>
                </c:pt>
              </c:numCache>
            </c:numRef>
          </c:val>
          <c:extLst>
            <c:ext xmlns:c16="http://schemas.microsoft.com/office/drawing/2014/chart" uri="{C3380CC4-5D6E-409C-BE32-E72D297353CC}">
              <c16:uniqueId val="{00000003-2AA8-4AFB-9BB3-9FD61378EB79}"/>
            </c:ext>
          </c:extLst>
        </c:ser>
        <c:dLbls>
          <c:showLegendKey val="0"/>
          <c:showVal val="0"/>
          <c:showCatName val="0"/>
          <c:showSerName val="0"/>
          <c:showPercent val="0"/>
          <c:showBubbleSize val="0"/>
        </c:dLbls>
        <c:gapWidth val="150"/>
        <c:shape val="cylinder"/>
        <c:axId val="216229376"/>
        <c:axId val="219563136"/>
        <c:axId val="0"/>
      </c:bar3DChart>
      <c:catAx>
        <c:axId val="216229376"/>
        <c:scaling>
          <c:orientation val="minMax"/>
        </c:scaling>
        <c:delete val="0"/>
        <c:axPos val="b"/>
        <c:majorTickMark val="out"/>
        <c:minorTickMark val="none"/>
        <c:tickLblPos val="nextTo"/>
        <c:crossAx val="219563136"/>
        <c:crosses val="autoZero"/>
        <c:auto val="1"/>
        <c:lblAlgn val="ctr"/>
        <c:lblOffset val="100"/>
        <c:noMultiLvlLbl val="0"/>
      </c:catAx>
      <c:valAx>
        <c:axId val="219563136"/>
        <c:scaling>
          <c:orientation val="minMax"/>
        </c:scaling>
        <c:delete val="0"/>
        <c:axPos val="l"/>
        <c:numFmt formatCode="0%" sourceLinked="1"/>
        <c:majorTickMark val="out"/>
        <c:minorTickMark val="none"/>
        <c:tickLblPos val="nextTo"/>
        <c:crossAx val="216229376"/>
        <c:crosses val="autoZero"/>
        <c:crossBetween val="between"/>
      </c:valAx>
      <c:dTable>
        <c:showHorzBorder val="0"/>
        <c:showVertBorder val="0"/>
        <c:showOutline val="1"/>
        <c:showKeys val="1"/>
      </c:dTable>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Resumen Diario Avance Total Por Tecnología (Modelo de Negocio, Tecnico y Mapeo de Objetos)</a:t>
            </a:r>
          </a:p>
        </c:rich>
      </c:tx>
      <c:overlay val="0"/>
    </c:title>
    <c:autoTitleDeleted val="0"/>
    <c:plotArea>
      <c:layout/>
      <c:barChart>
        <c:barDir val="col"/>
        <c:grouping val="clustered"/>
        <c:varyColors val="0"/>
        <c:ser>
          <c:idx val="1"/>
          <c:order val="0"/>
          <c:tx>
            <c:strRef>
              <c:f>'Flujos Automatizados Movil'!$O$2:$O$3</c:f>
              <c:strCache>
                <c:ptCount val="2"/>
                <c:pt idx="0">
                  <c:v>Avance Android</c:v>
                </c:pt>
              </c:strCache>
            </c:strRef>
          </c:tx>
          <c:invertIfNegative val="0"/>
          <c:val>
            <c:numRef>
              <c:f>'Flujos Automatizados Movil'!$O$4:$O$10</c:f>
              <c:numCache>
                <c:formatCode>0%</c:formatCode>
                <c:ptCount val="7"/>
                <c:pt idx="0">
                  <c:v>1</c:v>
                </c:pt>
                <c:pt idx="1">
                  <c:v>1</c:v>
                </c:pt>
                <c:pt idx="2">
                  <c:v>1</c:v>
                </c:pt>
                <c:pt idx="3">
                  <c:v>1</c:v>
                </c:pt>
                <c:pt idx="4">
                  <c:v>1</c:v>
                </c:pt>
                <c:pt idx="5">
                  <c:v>1</c:v>
                </c:pt>
                <c:pt idx="6">
                  <c:v>1</c:v>
                </c:pt>
              </c:numCache>
            </c:numRef>
          </c:val>
          <c:extLst>
            <c:ext xmlns:c16="http://schemas.microsoft.com/office/drawing/2014/chart" uri="{C3380CC4-5D6E-409C-BE32-E72D297353CC}">
              <c16:uniqueId val="{00000000-B756-4B3A-87E5-06AD226C017C}"/>
            </c:ext>
          </c:extLst>
        </c:ser>
        <c:ser>
          <c:idx val="0"/>
          <c:order val="1"/>
          <c:tx>
            <c:strRef>
              <c:f>'Flujos Automatizados Movil'!$P$2:$P$3</c:f>
              <c:strCache>
                <c:ptCount val="2"/>
                <c:pt idx="0">
                  <c:v>Avance IOS</c:v>
                </c:pt>
              </c:strCache>
            </c:strRef>
          </c:tx>
          <c:invertIfNegative val="0"/>
          <c:val>
            <c:numRef>
              <c:f>'Flujos Automatizados Movil'!$P$4:$P$10</c:f>
              <c:numCache>
                <c:formatCode>0%</c:formatCode>
                <c:ptCount val="7"/>
                <c:pt idx="0">
                  <c:v>1</c:v>
                </c:pt>
                <c:pt idx="1">
                  <c:v>1</c:v>
                </c:pt>
                <c:pt idx="2">
                  <c:v>1</c:v>
                </c:pt>
                <c:pt idx="3">
                  <c:v>1</c:v>
                </c:pt>
                <c:pt idx="4">
                  <c:v>0.5</c:v>
                </c:pt>
                <c:pt idx="5">
                  <c:v>0.46666666666666662</c:v>
                </c:pt>
                <c:pt idx="6">
                  <c:v>0.46666666666666662</c:v>
                </c:pt>
              </c:numCache>
            </c:numRef>
          </c:val>
          <c:extLst>
            <c:ext xmlns:c16="http://schemas.microsoft.com/office/drawing/2014/chart" uri="{C3380CC4-5D6E-409C-BE32-E72D297353CC}">
              <c16:uniqueId val="{00000001-B756-4B3A-87E5-06AD226C017C}"/>
            </c:ext>
          </c:extLst>
        </c:ser>
        <c:ser>
          <c:idx val="2"/>
          <c:order val="2"/>
          <c:tx>
            <c:strRef>
              <c:f>'Flujos Automatizados Movil'!#REF!</c:f>
              <c:strCache>
                <c:ptCount val="1"/>
                <c:pt idx="0">
                  <c:v>#REF!</c:v>
                </c:pt>
              </c:strCache>
            </c:strRef>
          </c:tx>
          <c:invertIfNegative val="0"/>
          <c:val>
            <c:numRef>
              <c:f>'Flujos Automatizados Movil'!#REF!</c:f>
              <c:numCache>
                <c:formatCode>General</c:formatCode>
                <c:ptCount val="1"/>
                <c:pt idx="0">
                  <c:v>1</c:v>
                </c:pt>
              </c:numCache>
            </c:numRef>
          </c:val>
          <c:extLst>
            <c:ext xmlns:c16="http://schemas.microsoft.com/office/drawing/2014/chart" uri="{C3380CC4-5D6E-409C-BE32-E72D297353CC}">
              <c16:uniqueId val="{00000002-B756-4B3A-87E5-06AD226C017C}"/>
            </c:ext>
          </c:extLst>
        </c:ser>
        <c:ser>
          <c:idx val="3"/>
          <c:order val="3"/>
          <c:tx>
            <c:strRef>
              <c:f>'Flujos Automatizados Movil'!#REF!</c:f>
              <c:strCache>
                <c:ptCount val="1"/>
                <c:pt idx="0">
                  <c:v>#REF!</c:v>
                </c:pt>
              </c:strCache>
            </c:strRef>
          </c:tx>
          <c:invertIfNegative val="0"/>
          <c:val>
            <c:numRef>
              <c:f>'Flujos Automatizados Movil'!#REF!</c:f>
              <c:numCache>
                <c:formatCode>General</c:formatCode>
                <c:ptCount val="1"/>
                <c:pt idx="0">
                  <c:v>1</c:v>
                </c:pt>
              </c:numCache>
            </c:numRef>
          </c:val>
          <c:extLst>
            <c:ext xmlns:c16="http://schemas.microsoft.com/office/drawing/2014/chart" uri="{C3380CC4-5D6E-409C-BE32-E72D297353CC}">
              <c16:uniqueId val="{00000003-B756-4B3A-87E5-06AD226C017C}"/>
            </c:ext>
          </c:extLst>
        </c:ser>
        <c:dLbls>
          <c:showLegendKey val="0"/>
          <c:showVal val="0"/>
          <c:showCatName val="0"/>
          <c:showSerName val="0"/>
          <c:showPercent val="0"/>
          <c:showBubbleSize val="0"/>
        </c:dLbls>
        <c:gapWidth val="150"/>
        <c:axId val="196456448"/>
        <c:axId val="219565440"/>
      </c:barChart>
      <c:catAx>
        <c:axId val="196456448"/>
        <c:scaling>
          <c:orientation val="minMax"/>
        </c:scaling>
        <c:delete val="0"/>
        <c:axPos val="b"/>
        <c:majorTickMark val="out"/>
        <c:minorTickMark val="none"/>
        <c:tickLblPos val="nextTo"/>
        <c:crossAx val="219565440"/>
        <c:crosses val="autoZero"/>
        <c:auto val="1"/>
        <c:lblAlgn val="ctr"/>
        <c:lblOffset val="100"/>
        <c:noMultiLvlLbl val="0"/>
      </c:catAx>
      <c:valAx>
        <c:axId val="219565440"/>
        <c:scaling>
          <c:orientation val="minMax"/>
          <c:max val="1"/>
        </c:scaling>
        <c:delete val="0"/>
        <c:axPos val="l"/>
        <c:numFmt formatCode="0%" sourceLinked="1"/>
        <c:majorTickMark val="out"/>
        <c:minorTickMark val="none"/>
        <c:tickLblPos val="nextTo"/>
        <c:crossAx val="196456448"/>
        <c:crosses val="autoZero"/>
        <c:crossBetween val="between"/>
      </c:valAx>
      <c:dTable>
        <c:showHorzBorder val="0"/>
        <c:showVertBorder val="0"/>
        <c:showOutline val="1"/>
        <c:showKeys val="1"/>
      </c:dTable>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a:lstStyle/>
          <a:p>
            <a:pPr>
              <a:defRPr/>
            </a:pPr>
            <a:r>
              <a:rPr lang="en-US"/>
              <a:t>Avance Total </a:t>
            </a:r>
            <a:r>
              <a:rPr lang="en-US" baseline="0"/>
              <a:t>Dispositivos</a:t>
            </a:r>
            <a:r>
              <a:rPr lang="en-US"/>
              <a:t> Móviles</a:t>
            </a:r>
          </a:p>
        </c:rich>
      </c:tx>
      <c:overlay val="0"/>
    </c:title>
    <c:autoTitleDeleted val="0"/>
    <c:plotArea>
      <c:layout/>
      <c:barChart>
        <c:barDir val="col"/>
        <c:grouping val="clustered"/>
        <c:varyColors val="0"/>
        <c:ser>
          <c:idx val="1"/>
          <c:order val="0"/>
          <c:tx>
            <c:strRef>
              <c:f>'Flujos Automatizados Movil'!$Q$2:$Q$3</c:f>
              <c:strCache>
                <c:ptCount val="2"/>
                <c:pt idx="0">
                  <c:v>Avance Total Móvil</c:v>
                </c:pt>
              </c:strCache>
            </c:strRef>
          </c:tx>
          <c:invertIfNegative val="0"/>
          <c:val>
            <c:numRef>
              <c:f>'Flujos Automatizados Movil'!$Q$4:$Q$10</c:f>
              <c:numCache>
                <c:formatCode>0%</c:formatCode>
                <c:ptCount val="7"/>
                <c:pt idx="0">
                  <c:v>1</c:v>
                </c:pt>
                <c:pt idx="1">
                  <c:v>1</c:v>
                </c:pt>
                <c:pt idx="2">
                  <c:v>1</c:v>
                </c:pt>
                <c:pt idx="3">
                  <c:v>1</c:v>
                </c:pt>
                <c:pt idx="4">
                  <c:v>0.75</c:v>
                </c:pt>
                <c:pt idx="5">
                  <c:v>0.73333333333333328</c:v>
                </c:pt>
                <c:pt idx="6">
                  <c:v>0.73333333333333328</c:v>
                </c:pt>
              </c:numCache>
            </c:numRef>
          </c:val>
          <c:extLst>
            <c:ext xmlns:c16="http://schemas.microsoft.com/office/drawing/2014/chart" uri="{C3380CC4-5D6E-409C-BE32-E72D297353CC}">
              <c16:uniqueId val="{00000000-C487-4F65-9825-BD241D2D5115}"/>
            </c:ext>
          </c:extLst>
        </c:ser>
        <c:dLbls>
          <c:showLegendKey val="0"/>
          <c:showVal val="0"/>
          <c:showCatName val="0"/>
          <c:showSerName val="0"/>
          <c:showPercent val="0"/>
          <c:showBubbleSize val="0"/>
        </c:dLbls>
        <c:gapWidth val="150"/>
        <c:axId val="196460032"/>
        <c:axId val="219567744"/>
      </c:barChart>
      <c:catAx>
        <c:axId val="196460032"/>
        <c:scaling>
          <c:orientation val="minMax"/>
        </c:scaling>
        <c:delete val="0"/>
        <c:axPos val="b"/>
        <c:majorTickMark val="out"/>
        <c:minorTickMark val="none"/>
        <c:tickLblPos val="nextTo"/>
        <c:crossAx val="219567744"/>
        <c:crosses val="autoZero"/>
        <c:auto val="1"/>
        <c:lblAlgn val="ctr"/>
        <c:lblOffset val="100"/>
        <c:noMultiLvlLbl val="0"/>
      </c:catAx>
      <c:valAx>
        <c:axId val="219567744"/>
        <c:scaling>
          <c:orientation val="minMax"/>
          <c:max val="1"/>
          <c:min val="0"/>
        </c:scaling>
        <c:delete val="0"/>
        <c:axPos val="l"/>
        <c:numFmt formatCode="0%" sourceLinked="1"/>
        <c:majorTickMark val="out"/>
        <c:minorTickMark val="none"/>
        <c:tickLblPos val="nextTo"/>
        <c:crossAx val="19646003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chart" Target="../charts/chart3.xml"/><Relationship Id="rId16" Type="http://schemas.openxmlformats.org/officeDocument/2006/relationships/chart" Target="../charts/chart17.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5" Type="http://schemas.openxmlformats.org/officeDocument/2006/relationships/chart" Target="../charts/chart1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0</xdr:col>
      <xdr:colOff>933450</xdr:colOff>
      <xdr:row>6</xdr:row>
      <xdr:rowOff>120650</xdr:rowOff>
    </xdr:from>
    <xdr:to>
      <xdr:col>5</xdr:col>
      <xdr:colOff>158750</xdr:colOff>
      <xdr:row>21</xdr:row>
      <xdr:rowOff>6350</xdr:rowOff>
    </xdr:to>
    <xdr:graphicFrame macro="">
      <xdr:nvGraphicFramePr>
        <xdr:cNvPr id="3" name="Gráfico 2">
          <a:extLst>
            <a:ext uri="{FF2B5EF4-FFF2-40B4-BE49-F238E27FC236}">
              <a16:creationId xmlns:a16="http://schemas.microsoft.com/office/drawing/2014/main" id="{02EC4B0B-E4CD-1853-B1FD-BB638E561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123826</xdr:colOff>
      <xdr:row>8</xdr:row>
      <xdr:rowOff>19049</xdr:rowOff>
    </xdr:from>
    <xdr:to>
      <xdr:col>4</xdr:col>
      <xdr:colOff>1657351</xdr:colOff>
      <xdr:row>24</xdr:row>
      <xdr:rowOff>171450</xdr:rowOff>
    </xdr:to>
    <xdr:graphicFrame macro="">
      <xdr:nvGraphicFramePr>
        <xdr:cNvPr id="2" name="Gráfico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142875</xdr:colOff>
      <xdr:row>26</xdr:row>
      <xdr:rowOff>0</xdr:rowOff>
    </xdr:from>
    <xdr:to>
      <xdr:col>4</xdr:col>
      <xdr:colOff>1419225</xdr:colOff>
      <xdr:row>43</xdr:row>
      <xdr:rowOff>0</xdr:rowOff>
    </xdr:to>
    <xdr:graphicFrame macro="">
      <xdr:nvGraphicFramePr>
        <xdr:cNvPr id="4" name="Gráfico 3">
          <a:extLst>
            <a:ext uri="{FF2B5EF4-FFF2-40B4-BE49-F238E27FC236}">
              <a16:creationId xmlns:a16="http://schemas.microsoft.com/office/drawing/2014/main" id="{00000000-0008-0000-0100-000004000000}"/>
            </a:ext>
            <a:ext uri="{147F2762-F138-4A5C-976F-8EAC2B608ADB}">
              <a16:predDERef xmlns:a16="http://schemas.microsoft.com/office/drawing/2014/main" pre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2286000</xdr:colOff>
      <xdr:row>7</xdr:row>
      <xdr:rowOff>171450</xdr:rowOff>
    </xdr:from>
    <xdr:to>
      <xdr:col>9</xdr:col>
      <xdr:colOff>1019175</xdr:colOff>
      <xdr:row>24</xdr:row>
      <xdr:rowOff>133350</xdr:rowOff>
    </xdr:to>
    <xdr:graphicFrame macro="">
      <xdr:nvGraphicFramePr>
        <xdr:cNvPr id="7" name="6 Gráfico">
          <a:extLst>
            <a:ext uri="{FF2B5EF4-FFF2-40B4-BE49-F238E27FC236}">
              <a16:creationId xmlns:a16="http://schemas.microsoft.com/office/drawing/2014/main" id="{00000000-0008-0000-0100-000007000000}"/>
            </a:ext>
            <a:ext uri="{147F2762-F138-4A5C-976F-8EAC2B608ADB}">
              <a16:predDERef xmlns:a16="http://schemas.microsoft.com/office/drawing/2014/main" pre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2295525</xdr:colOff>
      <xdr:row>25</xdr:row>
      <xdr:rowOff>171450</xdr:rowOff>
    </xdr:from>
    <xdr:to>
      <xdr:col>9</xdr:col>
      <xdr:colOff>1028700</xdr:colOff>
      <xdr:row>42</xdr:row>
      <xdr:rowOff>133350</xdr:rowOff>
    </xdr:to>
    <xdr:graphicFrame macro="">
      <xdr:nvGraphicFramePr>
        <xdr:cNvPr id="8" name="7 Gráfico">
          <a:extLst>
            <a:ext uri="{FF2B5EF4-FFF2-40B4-BE49-F238E27FC236}">
              <a16:creationId xmlns:a16="http://schemas.microsoft.com/office/drawing/2014/main" id="{00000000-0008-0000-0100-000008000000}"/>
            </a:ext>
            <a:ext uri="{147F2762-F138-4A5C-976F-8EAC2B608ADB}">
              <a16:predDERef xmlns:a16="http://schemas.microsoft.com/office/drawing/2014/main" pre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247650</xdr:colOff>
      <xdr:row>7</xdr:row>
      <xdr:rowOff>180975</xdr:rowOff>
    </xdr:from>
    <xdr:to>
      <xdr:col>16</xdr:col>
      <xdr:colOff>342900</xdr:colOff>
      <xdr:row>26</xdr:row>
      <xdr:rowOff>142874</xdr:rowOff>
    </xdr:to>
    <xdr:graphicFrame macro="">
      <xdr:nvGraphicFramePr>
        <xdr:cNvPr id="3" name="2 Gráfico">
          <a:extLst>
            <a:ext uri="{FF2B5EF4-FFF2-40B4-BE49-F238E27FC236}">
              <a16:creationId xmlns:a16="http://schemas.microsoft.com/office/drawing/2014/main" id="{00000000-0008-0000-0100-000003000000}"/>
            </a:ext>
            <a:ext uri="{147F2762-F138-4A5C-976F-8EAC2B608ADB}">
              <a16:predDERef xmlns:a16="http://schemas.microsoft.com/office/drawing/2014/main" pre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209549</xdr:colOff>
      <xdr:row>53</xdr:row>
      <xdr:rowOff>0</xdr:rowOff>
    </xdr:from>
    <xdr:to>
      <xdr:col>4</xdr:col>
      <xdr:colOff>1904999</xdr:colOff>
      <xdr:row>69</xdr:row>
      <xdr:rowOff>152401</xdr:rowOff>
    </xdr:to>
    <xdr:graphicFrame macro="">
      <xdr:nvGraphicFramePr>
        <xdr:cNvPr id="9" name="Gráfico 1">
          <a:extLst>
            <a:ext uri="{FF2B5EF4-FFF2-40B4-BE49-F238E27FC236}">
              <a16:creationId xmlns:a16="http://schemas.microsoft.com/office/drawing/2014/main" id="{00000000-0008-0000-0100-000009000000}"/>
            </a:ext>
            <a:ext uri="{147F2762-F138-4A5C-976F-8EAC2B608ADB}">
              <a16:predDERef xmlns:a16="http://schemas.microsoft.com/office/drawing/2014/main" pre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581025</xdr:colOff>
      <xdr:row>70</xdr:row>
      <xdr:rowOff>180975</xdr:rowOff>
    </xdr:from>
    <xdr:to>
      <xdr:col>4</xdr:col>
      <xdr:colOff>1857375</xdr:colOff>
      <xdr:row>87</xdr:row>
      <xdr:rowOff>180975</xdr:rowOff>
    </xdr:to>
    <xdr:graphicFrame macro="">
      <xdr:nvGraphicFramePr>
        <xdr:cNvPr id="10" name="Gráfico 3">
          <a:extLst>
            <a:ext uri="{FF2B5EF4-FFF2-40B4-BE49-F238E27FC236}">
              <a16:creationId xmlns:a16="http://schemas.microsoft.com/office/drawing/2014/main" id="{00000000-0008-0000-0100-00000A000000}"/>
            </a:ext>
            <a:ext uri="{147F2762-F138-4A5C-976F-8EAC2B608ADB}">
              <a16:predDERef xmlns:a16="http://schemas.microsoft.com/office/drawing/2014/main" pre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19050</xdr:colOff>
      <xdr:row>54</xdr:row>
      <xdr:rowOff>9525</xdr:rowOff>
    </xdr:from>
    <xdr:to>
      <xdr:col>9</xdr:col>
      <xdr:colOff>1057275</xdr:colOff>
      <xdr:row>70</xdr:row>
      <xdr:rowOff>161925</xdr:rowOff>
    </xdr:to>
    <xdr:graphicFrame macro="">
      <xdr:nvGraphicFramePr>
        <xdr:cNvPr id="11" name="10 Gráfico">
          <a:extLst>
            <a:ext uri="{FF2B5EF4-FFF2-40B4-BE49-F238E27FC236}">
              <a16:creationId xmlns:a16="http://schemas.microsoft.com/office/drawing/2014/main" id="{00000000-0008-0000-0100-00000B000000}"/>
            </a:ext>
            <a:ext uri="{147F2762-F138-4A5C-976F-8EAC2B608ADB}">
              <a16:predDERef xmlns:a16="http://schemas.microsoft.com/office/drawing/2014/main" pre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73</xdr:row>
      <xdr:rowOff>0</xdr:rowOff>
    </xdr:from>
    <xdr:to>
      <xdr:col>9</xdr:col>
      <xdr:colOff>1038225</xdr:colOff>
      <xdr:row>89</xdr:row>
      <xdr:rowOff>152400</xdr:rowOff>
    </xdr:to>
    <xdr:graphicFrame macro="">
      <xdr:nvGraphicFramePr>
        <xdr:cNvPr id="12" name="11 Gráfico">
          <a:extLst>
            <a:ext uri="{FF2B5EF4-FFF2-40B4-BE49-F238E27FC236}">
              <a16:creationId xmlns:a16="http://schemas.microsoft.com/office/drawing/2014/main" id="{00000000-0008-0000-0100-00000C000000}"/>
            </a:ext>
            <a:ext uri="{147F2762-F138-4A5C-976F-8EAC2B608ADB}">
              <a16:predDERef xmlns:a16="http://schemas.microsoft.com/office/drawing/2014/main" pre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619125</xdr:colOff>
      <xdr:row>55</xdr:row>
      <xdr:rowOff>28575</xdr:rowOff>
    </xdr:from>
    <xdr:to>
      <xdr:col>16</xdr:col>
      <xdr:colOff>714375</xdr:colOff>
      <xdr:row>73</xdr:row>
      <xdr:rowOff>180974</xdr:rowOff>
    </xdr:to>
    <xdr:graphicFrame macro="">
      <xdr:nvGraphicFramePr>
        <xdr:cNvPr id="13" name="12 Gráfico">
          <a:extLst>
            <a:ext uri="{FF2B5EF4-FFF2-40B4-BE49-F238E27FC236}">
              <a16:creationId xmlns:a16="http://schemas.microsoft.com/office/drawing/2014/main" id="{00000000-0008-0000-0100-00000D000000}"/>
            </a:ext>
            <a:ext uri="{147F2762-F138-4A5C-976F-8EAC2B608ADB}">
              <a16:predDERef xmlns:a16="http://schemas.microsoft.com/office/drawing/2014/main" pre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495300</xdr:colOff>
      <xdr:row>99</xdr:row>
      <xdr:rowOff>180975</xdr:rowOff>
    </xdr:from>
    <xdr:to>
      <xdr:col>10</xdr:col>
      <xdr:colOff>257175</xdr:colOff>
      <xdr:row>119</xdr:row>
      <xdr:rowOff>171450</xdr:rowOff>
    </xdr:to>
    <xdr:graphicFrame macro="">
      <xdr:nvGraphicFramePr>
        <xdr:cNvPr id="15" name="Gráfico 14">
          <a:extLst>
            <a:ext uri="{FF2B5EF4-FFF2-40B4-BE49-F238E27FC236}">
              <a16:creationId xmlns:a16="http://schemas.microsoft.com/office/drawing/2014/main" id="{00000000-0008-0000-0100-00000F000000}"/>
            </a:ext>
            <a:ext uri="{147F2762-F138-4A5C-976F-8EAC2B608ADB}">
              <a16:predDERef xmlns:a16="http://schemas.microsoft.com/office/drawing/2014/main" pre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476250</xdr:colOff>
      <xdr:row>120</xdr:row>
      <xdr:rowOff>171450</xdr:rowOff>
    </xdr:from>
    <xdr:to>
      <xdr:col>10</xdr:col>
      <xdr:colOff>228600</xdr:colOff>
      <xdr:row>136</xdr:row>
      <xdr:rowOff>114300</xdr:rowOff>
    </xdr:to>
    <xdr:graphicFrame macro="">
      <xdr:nvGraphicFramePr>
        <xdr:cNvPr id="16" name="Gráfico 15">
          <a:extLst>
            <a:ext uri="{FF2B5EF4-FFF2-40B4-BE49-F238E27FC236}">
              <a16:creationId xmlns:a16="http://schemas.microsoft.com/office/drawing/2014/main" id="{00000000-0008-0000-0100-000010000000}"/>
            </a:ext>
            <a:ext uri="{147F2762-F138-4A5C-976F-8EAC2B608ADB}">
              <a16:predDERef xmlns:a16="http://schemas.microsoft.com/office/drawing/2014/main" pre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314325</xdr:colOff>
      <xdr:row>99</xdr:row>
      <xdr:rowOff>142875</xdr:rowOff>
    </xdr:from>
    <xdr:to>
      <xdr:col>5</xdr:col>
      <xdr:colOff>95250</xdr:colOff>
      <xdr:row>118</xdr:row>
      <xdr:rowOff>152400</xdr:rowOff>
    </xdr:to>
    <xdr:graphicFrame macro="">
      <xdr:nvGraphicFramePr>
        <xdr:cNvPr id="17" name="Gráfico 16">
          <a:extLst>
            <a:ext uri="{FF2B5EF4-FFF2-40B4-BE49-F238E27FC236}">
              <a16:creationId xmlns:a16="http://schemas.microsoft.com/office/drawing/2014/main" id="{00000000-0008-0000-0100-000011000000}"/>
            </a:ext>
            <a:ext uri="{147F2762-F138-4A5C-976F-8EAC2B608ADB}">
              <a16:predDERef xmlns:a16="http://schemas.microsoft.com/office/drawing/2014/main" pre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695325</xdr:colOff>
      <xdr:row>120</xdr:row>
      <xdr:rowOff>47625</xdr:rowOff>
    </xdr:from>
    <xdr:to>
      <xdr:col>4</xdr:col>
      <xdr:colOff>1971675</xdr:colOff>
      <xdr:row>137</xdr:row>
      <xdr:rowOff>47625</xdr:rowOff>
    </xdr:to>
    <xdr:graphicFrame macro="">
      <xdr:nvGraphicFramePr>
        <xdr:cNvPr id="19" name="Gráfico 3">
          <a:extLst>
            <a:ext uri="{FF2B5EF4-FFF2-40B4-BE49-F238E27FC236}">
              <a16:creationId xmlns:a16="http://schemas.microsoft.com/office/drawing/2014/main" id="{00000000-0008-0000-0100-000013000000}"/>
            </a:ext>
            <a:ext uri="{147F2762-F138-4A5C-976F-8EAC2B608ADB}">
              <a16:predDERef xmlns:a16="http://schemas.microsoft.com/office/drawing/2014/main" pre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876300</xdr:colOff>
      <xdr:row>109</xdr:row>
      <xdr:rowOff>152400</xdr:rowOff>
    </xdr:from>
    <xdr:to>
      <xdr:col>17</xdr:col>
      <xdr:colOff>209550</xdr:colOff>
      <xdr:row>128</xdr:row>
      <xdr:rowOff>114299</xdr:rowOff>
    </xdr:to>
    <xdr:graphicFrame macro="">
      <xdr:nvGraphicFramePr>
        <xdr:cNvPr id="20" name="19 Gráfico">
          <a:extLst>
            <a:ext uri="{FF2B5EF4-FFF2-40B4-BE49-F238E27FC236}">
              <a16:creationId xmlns:a16="http://schemas.microsoft.com/office/drawing/2014/main" id="{00000000-0008-0000-0100-000014000000}"/>
            </a:ext>
            <a:ext uri="{147F2762-F138-4A5C-976F-8EAC2B608ADB}">
              <a16:predDERef xmlns:a16="http://schemas.microsoft.com/office/drawing/2014/main" pre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38100</xdr:colOff>
      <xdr:row>5</xdr:row>
      <xdr:rowOff>180974</xdr:rowOff>
    </xdr:from>
    <xdr:to>
      <xdr:col>23</xdr:col>
      <xdr:colOff>1123950</xdr:colOff>
      <xdr:row>27</xdr:row>
      <xdr:rowOff>0</xdr:rowOff>
    </xdr:to>
    <xdr:graphicFrame macro="">
      <xdr:nvGraphicFramePr>
        <xdr:cNvPr id="6" name="5 Gráfico">
          <a:extLst>
            <a:ext uri="{FF2B5EF4-FFF2-40B4-BE49-F238E27FC236}">
              <a16:creationId xmlns:a16="http://schemas.microsoft.com/office/drawing/2014/main" id="{00000000-0008-0000-0100-000006000000}"/>
            </a:ext>
            <a:ext uri="{147F2762-F138-4A5C-976F-8EAC2B608ADB}">
              <a16:predDERef xmlns:a16="http://schemas.microsoft.com/office/drawing/2014/main" pred="{00000000-0008-0000-01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24</xdr:col>
      <xdr:colOff>758825</xdr:colOff>
      <xdr:row>6</xdr:row>
      <xdr:rowOff>12700</xdr:rowOff>
    </xdr:from>
    <xdr:to>
      <xdr:col>32</xdr:col>
      <xdr:colOff>387350</xdr:colOff>
      <xdr:row>27</xdr:row>
      <xdr:rowOff>22226</xdr:rowOff>
    </xdr:to>
    <xdr:graphicFrame macro="">
      <xdr:nvGraphicFramePr>
        <xdr:cNvPr id="18" name="5 Gráfico">
          <a:extLst>
            <a:ext uri="{FF2B5EF4-FFF2-40B4-BE49-F238E27FC236}">
              <a16:creationId xmlns:a16="http://schemas.microsoft.com/office/drawing/2014/main" id="{1BCE07E6-E7B3-974B-9F16-7093FF94478E}"/>
            </a:ext>
            <a:ext uri="{147F2762-F138-4A5C-976F-8EAC2B608ADB}">
              <a16:predDERef xmlns:a16="http://schemas.microsoft.com/office/drawing/2014/main" pre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752475</xdr:colOff>
      <xdr:row>0</xdr:row>
      <xdr:rowOff>104775</xdr:rowOff>
    </xdr:from>
    <xdr:to>
      <xdr:col>9</xdr:col>
      <xdr:colOff>695325</xdr:colOff>
      <xdr:row>21</xdr:row>
      <xdr:rowOff>114301</xdr:rowOff>
    </xdr:to>
    <xdr:graphicFrame macro="">
      <xdr:nvGraphicFramePr>
        <xdr:cNvPr id="5" name="4 Gráfico">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752474</xdr:colOff>
      <xdr:row>23</xdr:row>
      <xdr:rowOff>19049</xdr:rowOff>
    </xdr:from>
    <xdr:to>
      <xdr:col>15</xdr:col>
      <xdr:colOff>161925</xdr:colOff>
      <xdr:row>40</xdr:row>
      <xdr:rowOff>47625</xdr:rowOff>
    </xdr:to>
    <xdr:graphicFrame macro="">
      <xdr:nvGraphicFramePr>
        <xdr:cNvPr id="8" name="7 Gráfico">
          <a:extLst>
            <a:ext uri="{FF2B5EF4-FFF2-40B4-BE49-F238E27FC236}">
              <a16:creationId xmlns:a16="http://schemas.microsoft.com/office/drawing/2014/main" id="{00000000-0008-0000-0200-000008000000}"/>
            </a:ext>
            <a:ext uri="{147F2762-F138-4A5C-976F-8EAC2B608ADB}">
              <a16:predDERef xmlns:a16="http://schemas.microsoft.com/office/drawing/2014/main" pre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400050</xdr:colOff>
      <xdr:row>42</xdr:row>
      <xdr:rowOff>180975</xdr:rowOff>
    </xdr:from>
    <xdr:to>
      <xdr:col>15</xdr:col>
      <xdr:colOff>19050</xdr:colOff>
      <xdr:row>62</xdr:row>
      <xdr:rowOff>28575</xdr:rowOff>
    </xdr:to>
    <xdr:graphicFrame macro="">
      <xdr:nvGraphicFramePr>
        <xdr:cNvPr id="9" name="8 Gráfico">
          <a:extLst>
            <a:ext uri="{FF2B5EF4-FFF2-40B4-BE49-F238E27FC236}">
              <a16:creationId xmlns:a16="http://schemas.microsoft.com/office/drawing/2014/main" id="{00000000-0008-0000-0200-000009000000}"/>
            </a:ext>
            <a:ext uri="{147F2762-F138-4A5C-976F-8EAC2B608ADB}">
              <a16:predDERef xmlns:a16="http://schemas.microsoft.com/office/drawing/2014/main" pre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50800</xdr:colOff>
      <xdr:row>0</xdr:row>
      <xdr:rowOff>117475</xdr:rowOff>
    </xdr:from>
    <xdr:to>
      <xdr:col>18</xdr:col>
      <xdr:colOff>679450</xdr:colOff>
      <xdr:row>21</xdr:row>
      <xdr:rowOff>127001</xdr:rowOff>
    </xdr:to>
    <xdr:graphicFrame macro="">
      <xdr:nvGraphicFramePr>
        <xdr:cNvPr id="7" name="5 Gráfico">
          <a:extLst>
            <a:ext uri="{FF2B5EF4-FFF2-40B4-BE49-F238E27FC236}">
              <a16:creationId xmlns:a16="http://schemas.microsoft.com/office/drawing/2014/main" id="{3A9D1E70-4C6F-834D-B3F7-DDC4981A33C5}"/>
            </a:ext>
            <a:ext uri="{147F2762-F138-4A5C-976F-8EAC2B608ADB}">
              <a16:predDERef xmlns:a16="http://schemas.microsoft.com/office/drawing/2014/main" pre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228599</xdr:colOff>
      <xdr:row>0</xdr:row>
      <xdr:rowOff>142874</xdr:rowOff>
    </xdr:from>
    <xdr:to>
      <xdr:col>16</xdr:col>
      <xdr:colOff>400050</xdr:colOff>
      <xdr:row>22</xdr:row>
      <xdr:rowOff>0</xdr:rowOff>
    </xdr:to>
    <xdr:graphicFrame macro="">
      <xdr:nvGraphicFramePr>
        <xdr:cNvPr id="2" name="1 Gráfico">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314326</xdr:colOff>
      <xdr:row>45</xdr:row>
      <xdr:rowOff>180974</xdr:rowOff>
    </xdr:from>
    <xdr:to>
      <xdr:col>16</xdr:col>
      <xdr:colOff>400050</xdr:colOff>
      <xdr:row>67</xdr:row>
      <xdr:rowOff>180975</xdr:rowOff>
    </xdr:to>
    <xdr:graphicFrame macro="">
      <xdr:nvGraphicFramePr>
        <xdr:cNvPr id="4" name="3 Gráfico">
          <a:extLst>
            <a:ext uri="{FF2B5EF4-FFF2-40B4-BE49-F238E27FC236}">
              <a16:creationId xmlns:a16="http://schemas.microsoft.com/office/drawing/2014/main" id="{00000000-0008-0000-0300-000004000000}"/>
            </a:ext>
            <a:ext uri="{147F2762-F138-4A5C-976F-8EAC2B608ADB}">
              <a16:predDERef xmlns:a16="http://schemas.microsoft.com/office/drawing/2014/main" pre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342899</xdr:colOff>
      <xdr:row>68</xdr:row>
      <xdr:rowOff>180975</xdr:rowOff>
    </xdr:from>
    <xdr:to>
      <xdr:col>16</xdr:col>
      <xdr:colOff>161924</xdr:colOff>
      <xdr:row>90</xdr:row>
      <xdr:rowOff>171450</xdr:rowOff>
    </xdr:to>
    <xdr:graphicFrame macro="">
      <xdr:nvGraphicFramePr>
        <xdr:cNvPr id="6" name="5 Gráfico">
          <a:extLst>
            <a:ext uri="{FF2B5EF4-FFF2-40B4-BE49-F238E27FC236}">
              <a16:creationId xmlns:a16="http://schemas.microsoft.com/office/drawing/2014/main" id="{00000000-0008-0000-0300-000006000000}"/>
            </a:ext>
            <a:ext uri="{147F2762-F138-4A5C-976F-8EAC2B608ADB}">
              <a16:predDERef xmlns:a16="http://schemas.microsoft.com/office/drawing/2014/main" pre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209550</xdr:colOff>
      <xdr:row>23</xdr:row>
      <xdr:rowOff>9525</xdr:rowOff>
    </xdr:from>
    <xdr:to>
      <xdr:col>16</xdr:col>
      <xdr:colOff>0</xdr:colOff>
      <xdr:row>44</xdr:row>
      <xdr:rowOff>85725</xdr:rowOff>
    </xdr:to>
    <xdr:graphicFrame macro="">
      <xdr:nvGraphicFramePr>
        <xdr:cNvPr id="8" name="7 Gráfico">
          <a:extLst>
            <a:ext uri="{FF2B5EF4-FFF2-40B4-BE49-F238E27FC236}">
              <a16:creationId xmlns:a16="http://schemas.microsoft.com/office/drawing/2014/main" id="{00000000-0008-0000-0300-000008000000}"/>
            </a:ext>
            <a:ext uri="{147F2762-F138-4A5C-976F-8EAC2B608ADB}">
              <a16:predDERef xmlns:a16="http://schemas.microsoft.com/office/drawing/2014/main" pre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A287"/>
  <sheetViews>
    <sheetView tabSelected="1" zoomScale="130" zoomScaleNormal="130" workbookViewId="0">
      <selection activeCell="Q22" sqref="Q22"/>
    </sheetView>
  </sheetViews>
  <sheetFormatPr baseColWidth="10" defaultColWidth="11.5" defaultRowHeight="15" x14ac:dyDescent="0.2"/>
  <cols>
    <col min="1" max="1" width="6.83203125" customWidth="1"/>
    <col min="2" max="2" width="23.6640625" customWidth="1"/>
    <col min="3" max="3" width="14.1640625" style="1" bestFit="1" customWidth="1"/>
    <col min="4" max="4" width="17.1640625" style="1" hidden="1" customWidth="1"/>
    <col min="5" max="5" width="66.83203125" customWidth="1"/>
    <col min="6" max="9" width="23.33203125" customWidth="1"/>
    <col min="10" max="10" width="21.33203125" customWidth="1"/>
    <col min="11" max="12" width="19.33203125" customWidth="1"/>
    <col min="13" max="13" width="17.6640625" bestFit="1" customWidth="1"/>
    <col min="14" max="14" width="47.5" bestFit="1" customWidth="1"/>
    <col min="15" max="16" width="19.33203125" customWidth="1"/>
    <col min="17" max="17" width="18" customWidth="1"/>
    <col min="19" max="19" width="17.5" bestFit="1" customWidth="1"/>
    <col min="20" max="20" width="15.83203125" bestFit="1" customWidth="1"/>
    <col min="21" max="21" width="7.1640625" bestFit="1" customWidth="1"/>
    <col min="23" max="23" width="13" bestFit="1" customWidth="1"/>
    <col min="24" max="24" width="9.33203125" bestFit="1" customWidth="1"/>
    <col min="25" max="25" width="15.33203125" bestFit="1" customWidth="1"/>
    <col min="26" max="26" width="11.33203125" customWidth="1"/>
  </cols>
  <sheetData>
    <row r="2" spans="1:19" x14ac:dyDescent="0.2">
      <c r="A2" s="53" t="s">
        <v>0</v>
      </c>
      <c r="B2" s="54" t="s">
        <v>92</v>
      </c>
      <c r="C2" s="57" t="s">
        <v>1</v>
      </c>
      <c r="D2" s="57" t="s">
        <v>2</v>
      </c>
      <c r="E2" s="57" t="s">
        <v>87</v>
      </c>
      <c r="F2" s="55" t="s">
        <v>3</v>
      </c>
      <c r="G2" s="57" t="s">
        <v>4</v>
      </c>
      <c r="H2" s="57" t="s">
        <v>5</v>
      </c>
      <c r="I2" s="57" t="s">
        <v>84</v>
      </c>
      <c r="J2" s="57" t="s">
        <v>83</v>
      </c>
      <c r="K2" s="57" t="s">
        <v>85</v>
      </c>
      <c r="L2" s="57"/>
      <c r="M2" s="54" t="s">
        <v>92</v>
      </c>
      <c r="N2" s="60" t="s">
        <v>91</v>
      </c>
      <c r="O2" s="54" t="s">
        <v>6</v>
      </c>
      <c r="P2" s="54" t="s">
        <v>7</v>
      </c>
      <c r="Q2" s="59" t="s">
        <v>8</v>
      </c>
    </row>
    <row r="3" spans="1:19" x14ac:dyDescent="0.2">
      <c r="A3" s="53"/>
      <c r="B3" s="54"/>
      <c r="C3" s="57"/>
      <c r="D3" s="57"/>
      <c r="E3" s="57"/>
      <c r="F3" s="56"/>
      <c r="G3" s="57"/>
      <c r="H3" s="57"/>
      <c r="I3" s="57"/>
      <c r="J3" s="57"/>
      <c r="K3" s="24" t="s">
        <v>20</v>
      </c>
      <c r="L3" s="24" t="s">
        <v>32</v>
      </c>
      <c r="M3" s="54"/>
      <c r="N3" s="60"/>
      <c r="O3" s="54"/>
      <c r="P3" s="54"/>
      <c r="Q3" s="59"/>
    </row>
    <row r="4" spans="1:19" ht="15" customHeight="1" x14ac:dyDescent="0.2">
      <c r="A4" s="26">
        <v>1</v>
      </c>
      <c r="B4" s="42" t="s">
        <v>86</v>
      </c>
      <c r="C4" s="25" t="s">
        <v>11</v>
      </c>
      <c r="D4" s="17"/>
      <c r="E4" s="27" t="s">
        <v>93</v>
      </c>
      <c r="F4" s="19">
        <v>1</v>
      </c>
      <c r="G4" s="19">
        <v>1</v>
      </c>
      <c r="H4" s="19">
        <f>SUM(F4:G4)/2</f>
        <v>1</v>
      </c>
      <c r="I4" s="19">
        <v>1</v>
      </c>
      <c r="J4" s="19">
        <v>1</v>
      </c>
      <c r="K4" s="19">
        <v>1</v>
      </c>
      <c r="L4" s="19">
        <v>1</v>
      </c>
      <c r="M4" s="42" t="s">
        <v>86</v>
      </c>
      <c r="N4" s="27" t="s">
        <v>97</v>
      </c>
      <c r="O4" s="19">
        <f t="shared" ref="O4:O30" si="0">SUM(H4,J4,K4)/3</f>
        <v>1</v>
      </c>
      <c r="P4" s="19">
        <f t="shared" ref="P4:P30" si="1">SUM(H4,I4,L4)/3</f>
        <v>1</v>
      </c>
      <c r="Q4" s="19">
        <f>SUM(O4,P4)/2</f>
        <v>1</v>
      </c>
      <c r="R4" s="3"/>
    </row>
    <row r="5" spans="1:19" x14ac:dyDescent="0.2">
      <c r="A5" s="26">
        <v>2</v>
      </c>
      <c r="B5" s="43"/>
      <c r="C5" s="28" t="s">
        <v>11</v>
      </c>
      <c r="D5" s="17"/>
      <c r="E5" s="27" t="s">
        <v>94</v>
      </c>
      <c r="F5" s="19">
        <v>1</v>
      </c>
      <c r="G5" s="19">
        <v>1</v>
      </c>
      <c r="H5" s="19">
        <f t="shared" ref="H5:H23" si="2">SUM(F5:G5)/2</f>
        <v>1</v>
      </c>
      <c r="I5" s="19">
        <v>1</v>
      </c>
      <c r="J5" s="19">
        <v>1</v>
      </c>
      <c r="K5" s="19">
        <v>1</v>
      </c>
      <c r="L5" s="19">
        <v>1</v>
      </c>
      <c r="M5" s="43"/>
      <c r="N5" s="27" t="s">
        <v>98</v>
      </c>
      <c r="O5" s="19">
        <f t="shared" si="0"/>
        <v>1</v>
      </c>
      <c r="P5" s="19">
        <f t="shared" si="1"/>
        <v>1</v>
      </c>
      <c r="Q5" s="19">
        <f t="shared" ref="Q5:Q30" si="3">SUM(O5,P5)/2</f>
        <v>1</v>
      </c>
    </row>
    <row r="6" spans="1:19" x14ac:dyDescent="0.2">
      <c r="A6" s="26">
        <v>3</v>
      </c>
      <c r="B6" s="43"/>
      <c r="C6" s="28" t="s">
        <v>11</v>
      </c>
      <c r="D6" s="17"/>
      <c r="E6" s="27" t="s">
        <v>95</v>
      </c>
      <c r="F6" s="19">
        <v>1</v>
      </c>
      <c r="G6" s="19">
        <v>1</v>
      </c>
      <c r="H6" s="19">
        <f t="shared" si="2"/>
        <v>1</v>
      </c>
      <c r="I6" s="19">
        <v>1</v>
      </c>
      <c r="J6" s="19">
        <v>1</v>
      </c>
      <c r="K6" s="19">
        <v>1</v>
      </c>
      <c r="L6" s="19">
        <v>1</v>
      </c>
      <c r="M6" s="43"/>
      <c r="N6" s="27" t="s">
        <v>99</v>
      </c>
      <c r="O6" s="19">
        <f t="shared" si="0"/>
        <v>1</v>
      </c>
      <c r="P6" s="19">
        <f t="shared" si="1"/>
        <v>1</v>
      </c>
      <c r="Q6" s="19">
        <f t="shared" si="3"/>
        <v>1</v>
      </c>
    </row>
    <row r="7" spans="1:19" x14ac:dyDescent="0.2">
      <c r="A7" s="26">
        <v>4</v>
      </c>
      <c r="B7" s="43"/>
      <c r="C7" s="28" t="s">
        <v>11</v>
      </c>
      <c r="D7" s="17"/>
      <c r="E7" s="27" t="s">
        <v>96</v>
      </c>
      <c r="F7" s="19">
        <v>1</v>
      </c>
      <c r="G7" s="19">
        <v>1</v>
      </c>
      <c r="H7" s="19">
        <f t="shared" si="2"/>
        <v>1</v>
      </c>
      <c r="I7" s="19">
        <v>1</v>
      </c>
      <c r="J7" s="19">
        <v>1</v>
      </c>
      <c r="K7" s="19">
        <v>1</v>
      </c>
      <c r="L7" s="19">
        <v>1</v>
      </c>
      <c r="M7" s="49"/>
      <c r="N7" s="27" t="s">
        <v>100</v>
      </c>
      <c r="O7" s="19">
        <f t="shared" si="0"/>
        <v>1</v>
      </c>
      <c r="P7" s="19">
        <f t="shared" si="1"/>
        <v>1</v>
      </c>
      <c r="Q7" s="19">
        <f t="shared" si="3"/>
        <v>1</v>
      </c>
    </row>
    <row r="8" spans="1:19" ht="15" customHeight="1" x14ac:dyDescent="0.2">
      <c r="A8" s="26">
        <v>5</v>
      </c>
      <c r="B8" s="32" t="s">
        <v>101</v>
      </c>
      <c r="C8" s="31" t="s">
        <v>11</v>
      </c>
      <c r="D8" s="17"/>
      <c r="E8" s="27" t="s">
        <v>102</v>
      </c>
      <c r="F8" s="19">
        <v>1</v>
      </c>
      <c r="G8" s="19">
        <v>1</v>
      </c>
      <c r="H8" s="19">
        <f t="shared" ref="H8" si="4">SUM(F8:G8)/2</f>
        <v>1</v>
      </c>
      <c r="I8" s="19">
        <v>0</v>
      </c>
      <c r="J8" s="19">
        <v>1</v>
      </c>
      <c r="K8" s="19">
        <v>1</v>
      </c>
      <c r="L8" s="19">
        <v>0.5</v>
      </c>
      <c r="M8" s="33" t="s">
        <v>101</v>
      </c>
      <c r="N8" s="27" t="s">
        <v>103</v>
      </c>
      <c r="O8" s="19">
        <f t="shared" si="0"/>
        <v>1</v>
      </c>
      <c r="P8" s="19">
        <f t="shared" si="1"/>
        <v>0.5</v>
      </c>
      <c r="Q8" s="19">
        <f t="shared" si="3"/>
        <v>0.75</v>
      </c>
    </row>
    <row r="9" spans="1:19" ht="15" customHeight="1" x14ac:dyDescent="0.2">
      <c r="A9" s="26">
        <v>6</v>
      </c>
      <c r="B9" s="44" t="s">
        <v>104</v>
      </c>
      <c r="C9" s="28" t="s">
        <v>11</v>
      </c>
      <c r="E9" s="27" t="s">
        <v>105</v>
      </c>
      <c r="F9" s="19">
        <v>1</v>
      </c>
      <c r="G9" s="19">
        <v>1</v>
      </c>
      <c r="H9" s="19">
        <f t="shared" si="2"/>
        <v>1</v>
      </c>
      <c r="I9" s="19">
        <v>0</v>
      </c>
      <c r="J9" s="19">
        <v>1</v>
      </c>
      <c r="K9" s="19">
        <v>1</v>
      </c>
      <c r="L9" s="19">
        <v>0.4</v>
      </c>
      <c r="M9" s="50" t="s">
        <v>104</v>
      </c>
      <c r="N9" s="27" t="s">
        <v>108</v>
      </c>
      <c r="O9" s="19">
        <f t="shared" si="0"/>
        <v>1</v>
      </c>
      <c r="P9" s="19">
        <f t="shared" si="1"/>
        <v>0.46666666666666662</v>
      </c>
      <c r="Q9" s="19">
        <f t="shared" si="3"/>
        <v>0.73333333333333328</v>
      </c>
    </row>
    <row r="10" spans="1:19" ht="16" customHeight="1" x14ac:dyDescent="0.2">
      <c r="A10" s="26">
        <v>7</v>
      </c>
      <c r="B10" s="44"/>
      <c r="C10" s="28" t="s">
        <v>11</v>
      </c>
      <c r="E10" s="27" t="s">
        <v>107</v>
      </c>
      <c r="F10" s="19">
        <v>1</v>
      </c>
      <c r="G10" s="19">
        <v>1</v>
      </c>
      <c r="H10" s="19">
        <f t="shared" si="2"/>
        <v>1</v>
      </c>
      <c r="I10" s="19">
        <v>0</v>
      </c>
      <c r="J10" s="19">
        <v>1</v>
      </c>
      <c r="K10" s="19">
        <v>1</v>
      </c>
      <c r="L10" s="19">
        <v>0.4</v>
      </c>
      <c r="M10" s="51"/>
      <c r="N10" s="27" t="s">
        <v>110</v>
      </c>
      <c r="O10" s="19">
        <f t="shared" si="0"/>
        <v>1</v>
      </c>
      <c r="P10" s="19">
        <f t="shared" si="1"/>
        <v>0.46666666666666662</v>
      </c>
      <c r="Q10" s="19">
        <f t="shared" si="3"/>
        <v>0.73333333333333328</v>
      </c>
    </row>
    <row r="11" spans="1:19" x14ac:dyDescent="0.2">
      <c r="A11" s="26">
        <v>8</v>
      </c>
      <c r="B11" s="44"/>
      <c r="C11" s="28" t="s">
        <v>11</v>
      </c>
      <c r="E11" s="27" t="s">
        <v>106</v>
      </c>
      <c r="F11" s="19">
        <v>1</v>
      </c>
      <c r="G11" s="19">
        <v>1</v>
      </c>
      <c r="H11" s="19">
        <f t="shared" si="2"/>
        <v>1</v>
      </c>
      <c r="I11" s="19">
        <v>0</v>
      </c>
      <c r="J11" s="19">
        <v>1</v>
      </c>
      <c r="K11" s="19">
        <v>1</v>
      </c>
      <c r="L11" s="19">
        <v>0.4</v>
      </c>
      <c r="M11" s="51"/>
      <c r="N11" s="27" t="s">
        <v>111</v>
      </c>
      <c r="O11" s="19">
        <f t="shared" si="0"/>
        <v>1</v>
      </c>
      <c r="P11" s="19">
        <f t="shared" si="1"/>
        <v>0.46666666666666662</v>
      </c>
      <c r="Q11" s="19">
        <f t="shared" si="3"/>
        <v>0.73333333333333328</v>
      </c>
      <c r="S11" s="2"/>
    </row>
    <row r="12" spans="1:19" x14ac:dyDescent="0.2">
      <c r="A12" s="26">
        <v>9</v>
      </c>
      <c r="B12" s="58"/>
      <c r="C12" s="28" t="s">
        <v>11</v>
      </c>
      <c r="D12" s="29"/>
      <c r="E12" s="27" t="s">
        <v>109</v>
      </c>
      <c r="F12" s="19">
        <v>1</v>
      </c>
      <c r="G12" s="19">
        <v>1</v>
      </c>
      <c r="H12" s="19">
        <f>SUM(F12:G12)/2</f>
        <v>1</v>
      </c>
      <c r="I12" s="19">
        <v>0</v>
      </c>
      <c r="J12" s="19">
        <v>1</v>
      </c>
      <c r="K12" s="19">
        <v>1</v>
      </c>
      <c r="L12" s="19">
        <v>0.49</v>
      </c>
      <c r="M12" s="51"/>
      <c r="N12" s="27" t="s">
        <v>112</v>
      </c>
      <c r="O12" s="19">
        <f>SUM(H12,J12,K12)/3</f>
        <v>1</v>
      </c>
      <c r="P12" s="19">
        <f t="shared" si="1"/>
        <v>0.49666666666666665</v>
      </c>
      <c r="Q12" s="19">
        <f t="shared" si="3"/>
        <v>0.74833333333333329</v>
      </c>
      <c r="S12" s="2"/>
    </row>
    <row r="13" spans="1:19" x14ac:dyDescent="0.2">
      <c r="A13" s="26">
        <v>10</v>
      </c>
      <c r="B13" s="52" t="s">
        <v>113</v>
      </c>
      <c r="C13" s="28" t="s">
        <v>11</v>
      </c>
      <c r="E13" s="27" t="s">
        <v>114</v>
      </c>
      <c r="F13" s="19">
        <v>1</v>
      </c>
      <c r="G13" s="19">
        <v>1</v>
      </c>
      <c r="H13" s="19">
        <f>SUM(F13:G13)/2</f>
        <v>1</v>
      </c>
      <c r="I13" s="19">
        <v>0</v>
      </c>
      <c r="J13" s="19">
        <v>1</v>
      </c>
      <c r="K13" s="19">
        <v>1</v>
      </c>
      <c r="L13" s="19">
        <v>0.5</v>
      </c>
      <c r="M13" s="51" t="s">
        <v>119</v>
      </c>
      <c r="N13" s="27" t="s">
        <v>114</v>
      </c>
      <c r="O13" s="19">
        <f t="shared" si="0"/>
        <v>1</v>
      </c>
      <c r="P13" s="19">
        <f t="shared" si="1"/>
        <v>0.5</v>
      </c>
      <c r="Q13" s="19">
        <f t="shared" si="3"/>
        <v>0.75</v>
      </c>
    </row>
    <row r="14" spans="1:19" x14ac:dyDescent="0.2">
      <c r="A14" s="26">
        <v>11</v>
      </c>
      <c r="B14" s="44"/>
      <c r="C14" s="28" t="s">
        <v>11</v>
      </c>
      <c r="E14" s="27" t="s">
        <v>115</v>
      </c>
      <c r="F14" s="19">
        <v>1</v>
      </c>
      <c r="G14" s="19">
        <v>1</v>
      </c>
      <c r="H14" s="19">
        <f t="shared" si="2"/>
        <v>1</v>
      </c>
      <c r="I14" s="19">
        <v>0</v>
      </c>
      <c r="J14" s="19">
        <v>1</v>
      </c>
      <c r="K14" s="19">
        <v>1</v>
      </c>
      <c r="L14" s="19">
        <v>0.5</v>
      </c>
      <c r="M14" s="51"/>
      <c r="N14" s="27" t="s">
        <v>115</v>
      </c>
      <c r="O14" s="19">
        <f t="shared" si="0"/>
        <v>1</v>
      </c>
      <c r="P14" s="19">
        <f t="shared" si="1"/>
        <v>0.5</v>
      </c>
      <c r="Q14" s="19">
        <f t="shared" si="3"/>
        <v>0.75</v>
      </c>
    </row>
    <row r="15" spans="1:19" x14ac:dyDescent="0.2">
      <c r="A15" s="26">
        <v>12</v>
      </c>
      <c r="B15" s="44"/>
      <c r="C15" s="31" t="s">
        <v>11</v>
      </c>
      <c r="D15" s="34"/>
      <c r="E15" s="27" t="s">
        <v>118</v>
      </c>
      <c r="F15" s="19">
        <v>1</v>
      </c>
      <c r="G15" s="19">
        <v>1</v>
      </c>
      <c r="H15" s="19">
        <f t="shared" si="2"/>
        <v>1</v>
      </c>
      <c r="I15" s="19">
        <v>0</v>
      </c>
      <c r="J15" s="19">
        <v>1</v>
      </c>
      <c r="K15" s="19">
        <v>1</v>
      </c>
      <c r="L15" s="19">
        <v>0.5</v>
      </c>
      <c r="M15" s="51"/>
      <c r="N15" s="27" t="s">
        <v>118</v>
      </c>
      <c r="O15" s="19">
        <f t="shared" si="0"/>
        <v>1</v>
      </c>
      <c r="P15" s="19">
        <f t="shared" si="1"/>
        <v>0.5</v>
      </c>
      <c r="Q15" s="19">
        <f t="shared" si="3"/>
        <v>0.75</v>
      </c>
    </row>
    <row r="16" spans="1:19" x14ac:dyDescent="0.2">
      <c r="A16" s="26">
        <v>13</v>
      </c>
      <c r="B16" s="44"/>
      <c r="C16" s="28" t="s">
        <v>11</v>
      </c>
      <c r="D16" s="29"/>
      <c r="E16" s="27" t="s">
        <v>116</v>
      </c>
      <c r="F16" s="19">
        <v>1</v>
      </c>
      <c r="G16" s="19">
        <v>1</v>
      </c>
      <c r="H16" s="19">
        <f t="shared" si="2"/>
        <v>1</v>
      </c>
      <c r="I16" s="19">
        <v>0</v>
      </c>
      <c r="J16" s="19">
        <v>1</v>
      </c>
      <c r="K16" s="19">
        <v>1</v>
      </c>
      <c r="L16" s="19">
        <v>1</v>
      </c>
      <c r="M16" s="51"/>
      <c r="N16" s="27" t="s">
        <v>116</v>
      </c>
      <c r="O16" s="19">
        <f t="shared" si="0"/>
        <v>1</v>
      </c>
      <c r="P16" s="19">
        <f t="shared" si="1"/>
        <v>0.66666666666666663</v>
      </c>
      <c r="Q16" s="19">
        <f t="shared" si="3"/>
        <v>0.83333333333333326</v>
      </c>
    </row>
    <row r="17" spans="1:17" x14ac:dyDescent="0.2">
      <c r="A17" s="26">
        <v>15</v>
      </c>
      <c r="B17" s="44"/>
      <c r="C17" s="28" t="s">
        <v>11</v>
      </c>
      <c r="D17" s="29"/>
      <c r="E17" s="27" t="s">
        <v>117</v>
      </c>
      <c r="F17" s="19">
        <v>1</v>
      </c>
      <c r="G17" s="19">
        <v>1</v>
      </c>
      <c r="H17" s="19">
        <f t="shared" si="2"/>
        <v>1</v>
      </c>
      <c r="I17" s="19">
        <v>0</v>
      </c>
      <c r="J17" s="19">
        <v>1</v>
      </c>
      <c r="K17" s="19">
        <v>1</v>
      </c>
      <c r="L17" s="19">
        <v>1</v>
      </c>
      <c r="M17" s="51"/>
      <c r="N17" s="27" t="s">
        <v>117</v>
      </c>
      <c r="O17" s="19">
        <f t="shared" si="0"/>
        <v>1</v>
      </c>
      <c r="P17" s="19">
        <f t="shared" si="1"/>
        <v>0.66666666666666663</v>
      </c>
      <c r="Q17" s="19">
        <f t="shared" si="3"/>
        <v>0.83333333333333326</v>
      </c>
    </row>
    <row r="18" spans="1:17" ht="16" x14ac:dyDescent="0.2">
      <c r="A18" s="26">
        <v>16</v>
      </c>
      <c r="B18" s="44"/>
      <c r="C18" s="28" t="s">
        <v>11</v>
      </c>
      <c r="E18" s="27" t="s">
        <v>120</v>
      </c>
      <c r="F18" s="19">
        <v>0.97</v>
      </c>
      <c r="G18" s="19">
        <v>0.97</v>
      </c>
      <c r="H18" s="19">
        <f t="shared" si="2"/>
        <v>0.97</v>
      </c>
      <c r="I18" s="19">
        <v>0</v>
      </c>
      <c r="J18" s="19">
        <v>1</v>
      </c>
      <c r="K18" s="19">
        <v>1</v>
      </c>
      <c r="L18" s="19">
        <v>0.5</v>
      </c>
      <c r="M18" s="51"/>
      <c r="N18" s="30" t="s">
        <v>120</v>
      </c>
      <c r="O18" s="19">
        <f t="shared" si="0"/>
        <v>0.98999999999999988</v>
      </c>
      <c r="P18" s="19">
        <f t="shared" si="1"/>
        <v>0.49</v>
      </c>
      <c r="Q18" s="19">
        <f t="shared" si="3"/>
        <v>0.74</v>
      </c>
    </row>
    <row r="19" spans="1:17" x14ac:dyDescent="0.2">
      <c r="A19" s="26">
        <v>17</v>
      </c>
      <c r="B19" s="44" t="s">
        <v>121</v>
      </c>
      <c r="C19" s="31" t="s">
        <v>11</v>
      </c>
      <c r="E19" s="27" t="s">
        <v>122</v>
      </c>
      <c r="F19" s="36">
        <v>1</v>
      </c>
      <c r="G19" s="36">
        <v>1</v>
      </c>
      <c r="H19" s="19">
        <f t="shared" si="2"/>
        <v>1</v>
      </c>
      <c r="I19" s="36">
        <v>0</v>
      </c>
      <c r="J19" s="36">
        <v>1</v>
      </c>
      <c r="K19" s="36">
        <v>1</v>
      </c>
      <c r="L19" s="36">
        <v>0.5</v>
      </c>
      <c r="M19" s="51" t="s">
        <v>121</v>
      </c>
      <c r="N19" s="27" t="s">
        <v>122</v>
      </c>
      <c r="O19" s="19">
        <f t="shared" si="0"/>
        <v>1</v>
      </c>
      <c r="P19" s="19">
        <f t="shared" si="1"/>
        <v>0.5</v>
      </c>
      <c r="Q19" s="19">
        <f t="shared" si="3"/>
        <v>0.75</v>
      </c>
    </row>
    <row r="20" spans="1:17" ht="13" customHeight="1" x14ac:dyDescent="0.2">
      <c r="A20" s="26">
        <v>18</v>
      </c>
      <c r="B20" s="44"/>
      <c r="C20" s="31" t="s">
        <v>11</v>
      </c>
      <c r="E20" s="27" t="s">
        <v>123</v>
      </c>
      <c r="F20" s="36">
        <v>0.7</v>
      </c>
      <c r="G20" s="36">
        <v>0.7</v>
      </c>
      <c r="H20" s="19">
        <f t="shared" si="2"/>
        <v>0.7</v>
      </c>
      <c r="I20" s="36">
        <v>0</v>
      </c>
      <c r="J20" s="36">
        <v>0.9</v>
      </c>
      <c r="K20" s="36">
        <v>0.8</v>
      </c>
      <c r="L20" s="36">
        <v>0.4</v>
      </c>
      <c r="M20" s="51"/>
      <c r="N20" s="27" t="s">
        <v>123</v>
      </c>
      <c r="O20" s="19">
        <f t="shared" si="0"/>
        <v>0.80000000000000016</v>
      </c>
      <c r="P20" s="19">
        <f t="shared" si="1"/>
        <v>0.3666666666666667</v>
      </c>
      <c r="Q20" s="19">
        <f t="shared" si="3"/>
        <v>0.58333333333333348</v>
      </c>
    </row>
    <row r="21" spans="1:17" ht="14" customHeight="1" x14ac:dyDescent="0.2">
      <c r="A21" s="26">
        <v>19</v>
      </c>
      <c r="B21" s="44"/>
      <c r="C21" s="31" t="s">
        <v>11</v>
      </c>
      <c r="E21" s="27" t="s">
        <v>124</v>
      </c>
      <c r="F21" s="36">
        <v>0.7</v>
      </c>
      <c r="G21" s="36">
        <v>0.7</v>
      </c>
      <c r="H21" s="19">
        <f t="shared" si="2"/>
        <v>0.7</v>
      </c>
      <c r="I21" s="36">
        <v>0</v>
      </c>
      <c r="J21" s="36">
        <v>0.9</v>
      </c>
      <c r="K21" s="36">
        <v>0.8</v>
      </c>
      <c r="L21" s="36">
        <v>0.4</v>
      </c>
      <c r="M21" s="51"/>
      <c r="N21" s="27" t="s">
        <v>124</v>
      </c>
      <c r="O21" s="19">
        <f t="shared" si="0"/>
        <v>0.80000000000000016</v>
      </c>
      <c r="P21" s="19">
        <f t="shared" si="1"/>
        <v>0.3666666666666667</v>
      </c>
      <c r="Q21" s="19">
        <f t="shared" si="3"/>
        <v>0.58333333333333348</v>
      </c>
    </row>
    <row r="22" spans="1:17" ht="14" customHeight="1" x14ac:dyDescent="0.2">
      <c r="A22" s="26">
        <v>20</v>
      </c>
      <c r="B22" s="48" t="s">
        <v>125</v>
      </c>
      <c r="C22" s="31" t="s">
        <v>11</v>
      </c>
      <c r="E22" s="27" t="s">
        <v>126</v>
      </c>
      <c r="F22" s="40">
        <v>0.95</v>
      </c>
      <c r="G22" s="40">
        <v>0.97</v>
      </c>
      <c r="H22" s="41">
        <f t="shared" si="2"/>
        <v>0.96</v>
      </c>
      <c r="I22" s="40">
        <v>0</v>
      </c>
      <c r="J22" s="40">
        <v>0.98</v>
      </c>
      <c r="K22" s="40">
        <v>0.98</v>
      </c>
      <c r="L22" s="40">
        <v>0.4</v>
      </c>
      <c r="M22" s="45" t="s">
        <v>125</v>
      </c>
      <c r="N22" s="27" t="s">
        <v>126</v>
      </c>
      <c r="O22" s="19">
        <f t="shared" si="0"/>
        <v>0.97333333333333327</v>
      </c>
      <c r="P22" s="19">
        <f t="shared" si="1"/>
        <v>0.45333333333333331</v>
      </c>
      <c r="Q22" s="19">
        <f t="shared" si="3"/>
        <v>0.71333333333333326</v>
      </c>
    </row>
    <row r="23" spans="1:17" ht="13" customHeight="1" x14ac:dyDescent="0.2">
      <c r="A23" s="26">
        <v>21</v>
      </c>
      <c r="B23" s="48"/>
      <c r="C23" s="31" t="s">
        <v>11</v>
      </c>
      <c r="D23" s="37"/>
      <c r="E23" s="27" t="s">
        <v>127</v>
      </c>
      <c r="F23" s="19">
        <v>0.95</v>
      </c>
      <c r="G23" s="19">
        <v>1</v>
      </c>
      <c r="H23" s="19">
        <f t="shared" si="2"/>
        <v>0.97499999999999998</v>
      </c>
      <c r="I23" s="19">
        <v>0</v>
      </c>
      <c r="J23" s="19">
        <v>1</v>
      </c>
      <c r="K23" s="19">
        <v>0.9</v>
      </c>
      <c r="L23" s="19">
        <v>0.4</v>
      </c>
      <c r="M23" s="46"/>
      <c r="N23" s="27" t="s">
        <v>127</v>
      </c>
      <c r="O23" s="19">
        <f t="shared" si="0"/>
        <v>0.95833333333333337</v>
      </c>
      <c r="P23" s="19">
        <f t="shared" si="1"/>
        <v>0.45833333333333331</v>
      </c>
      <c r="Q23" s="19">
        <f t="shared" si="3"/>
        <v>0.70833333333333337</v>
      </c>
    </row>
    <row r="24" spans="1:17" x14ac:dyDescent="0.2">
      <c r="A24" s="26">
        <v>22</v>
      </c>
      <c r="B24" s="48"/>
      <c r="C24" s="39"/>
      <c r="D24" s="37"/>
      <c r="E24" s="39"/>
      <c r="F24" s="37"/>
      <c r="G24" s="39"/>
      <c r="H24" s="37"/>
      <c r="I24" s="39"/>
      <c r="J24" s="37"/>
      <c r="K24" s="39"/>
      <c r="L24" s="37"/>
      <c r="M24" s="47"/>
      <c r="N24" s="37"/>
      <c r="O24" s="19">
        <f t="shared" si="0"/>
        <v>0</v>
      </c>
      <c r="P24" s="19">
        <f t="shared" si="1"/>
        <v>0</v>
      </c>
      <c r="Q24" s="19">
        <f t="shared" si="3"/>
        <v>0</v>
      </c>
    </row>
    <row r="25" spans="1:17" x14ac:dyDescent="0.2">
      <c r="A25" s="26">
        <v>23</v>
      </c>
      <c r="B25" s="42"/>
      <c r="C25" s="39"/>
      <c r="D25" s="37"/>
      <c r="E25" s="39"/>
      <c r="F25" s="37"/>
      <c r="G25" s="39"/>
      <c r="H25" s="37"/>
      <c r="I25" s="39"/>
      <c r="J25" s="37"/>
      <c r="K25" s="39"/>
      <c r="L25" s="37"/>
      <c r="M25" s="39"/>
      <c r="N25" s="37"/>
      <c r="O25" s="19">
        <f t="shared" si="0"/>
        <v>0</v>
      </c>
      <c r="P25" s="19">
        <f t="shared" si="1"/>
        <v>0</v>
      </c>
      <c r="Q25" s="19">
        <f t="shared" si="3"/>
        <v>0</v>
      </c>
    </row>
    <row r="26" spans="1:17" x14ac:dyDescent="0.2">
      <c r="A26" s="26">
        <v>24</v>
      </c>
      <c r="B26" s="43"/>
      <c r="C26" s="39"/>
      <c r="D26" s="37"/>
      <c r="E26" s="39"/>
      <c r="F26" s="37"/>
      <c r="G26" s="39"/>
      <c r="H26" s="37"/>
      <c r="I26" s="39"/>
      <c r="J26" s="37"/>
      <c r="K26" s="39"/>
      <c r="L26" s="37"/>
      <c r="M26" s="39"/>
      <c r="N26" s="37"/>
      <c r="O26" s="19">
        <f t="shared" si="0"/>
        <v>0</v>
      </c>
      <c r="P26" s="19">
        <f t="shared" si="1"/>
        <v>0</v>
      </c>
      <c r="Q26" s="19">
        <f t="shared" si="3"/>
        <v>0</v>
      </c>
    </row>
    <row r="27" spans="1:17" x14ac:dyDescent="0.2">
      <c r="A27" s="26">
        <v>25</v>
      </c>
      <c r="B27" s="43"/>
      <c r="C27" s="39"/>
      <c r="D27" s="37"/>
      <c r="E27" s="39"/>
      <c r="F27" s="37"/>
      <c r="G27" s="39"/>
      <c r="H27" s="37"/>
      <c r="I27" s="39"/>
      <c r="J27" s="37"/>
      <c r="K27" s="39"/>
      <c r="L27" s="37"/>
      <c r="M27" s="39"/>
      <c r="N27" s="37"/>
      <c r="O27" s="19">
        <f t="shared" si="0"/>
        <v>0</v>
      </c>
      <c r="P27" s="19">
        <f t="shared" si="1"/>
        <v>0</v>
      </c>
      <c r="Q27" s="19">
        <f t="shared" si="3"/>
        <v>0</v>
      </c>
    </row>
    <row r="28" spans="1:17" x14ac:dyDescent="0.2">
      <c r="A28" s="26">
        <v>26</v>
      </c>
      <c r="B28" s="43"/>
      <c r="C28" s="39"/>
      <c r="D28" s="37"/>
      <c r="E28" s="39"/>
      <c r="F28" s="37"/>
      <c r="G28" s="39"/>
      <c r="H28" s="37"/>
      <c r="I28" s="39"/>
      <c r="J28" s="37"/>
      <c r="K28" s="39"/>
      <c r="L28" s="37"/>
      <c r="M28" s="39"/>
      <c r="N28" s="37"/>
      <c r="O28" s="19">
        <f t="shared" si="0"/>
        <v>0</v>
      </c>
      <c r="P28" s="19">
        <f t="shared" si="1"/>
        <v>0</v>
      </c>
      <c r="Q28" s="19">
        <f t="shared" si="3"/>
        <v>0</v>
      </c>
    </row>
    <row r="29" spans="1:17" x14ac:dyDescent="0.2">
      <c r="A29" s="26">
        <v>27</v>
      </c>
      <c r="B29" s="32"/>
      <c r="C29" s="39"/>
      <c r="D29" s="37"/>
      <c r="E29" s="39"/>
      <c r="F29" s="37"/>
      <c r="G29" s="39"/>
      <c r="H29" s="37"/>
      <c r="I29" s="39"/>
      <c r="J29" s="37"/>
      <c r="K29" s="39"/>
      <c r="L29" s="37"/>
      <c r="M29" s="39"/>
      <c r="N29" s="37"/>
      <c r="O29" s="19">
        <f t="shared" si="0"/>
        <v>0</v>
      </c>
      <c r="P29" s="19">
        <f t="shared" si="1"/>
        <v>0</v>
      </c>
      <c r="Q29" s="19">
        <f t="shared" si="3"/>
        <v>0</v>
      </c>
    </row>
    <row r="30" spans="1:17" x14ac:dyDescent="0.2">
      <c r="A30" s="26">
        <v>28</v>
      </c>
      <c r="B30" s="44"/>
      <c r="C30" s="39"/>
      <c r="D30" s="37"/>
      <c r="E30" s="39"/>
      <c r="F30" s="37"/>
      <c r="G30" s="39"/>
      <c r="H30" s="37"/>
      <c r="I30" s="39"/>
      <c r="J30" s="37"/>
      <c r="K30" s="39"/>
      <c r="L30" s="37"/>
      <c r="M30" s="38"/>
      <c r="N30" s="37"/>
      <c r="O30" s="19">
        <f t="shared" si="0"/>
        <v>0</v>
      </c>
      <c r="P30" s="19">
        <f t="shared" si="1"/>
        <v>0</v>
      </c>
      <c r="Q30" s="19">
        <f t="shared" si="3"/>
        <v>0</v>
      </c>
    </row>
    <row r="31" spans="1:17" x14ac:dyDescent="0.2">
      <c r="A31" s="26">
        <v>29</v>
      </c>
      <c r="B31" s="44"/>
      <c r="C31" s="39"/>
      <c r="D31" s="37"/>
      <c r="E31" s="39"/>
      <c r="F31" s="37"/>
      <c r="G31" s="39"/>
      <c r="H31" s="37"/>
      <c r="I31" s="39"/>
      <c r="J31" s="37"/>
      <c r="K31" s="39"/>
      <c r="L31" s="37"/>
      <c r="M31" s="38"/>
      <c r="N31" s="37"/>
      <c r="O31" s="35">
        <f>AVERAGE(O4:O30)</f>
        <v>0.72302469135802461</v>
      </c>
      <c r="P31" s="35">
        <f>AVERAGE(P4:P30)</f>
        <v>0.43944444444444453</v>
      </c>
      <c r="Q31" s="35">
        <f>AVERAGE(Q4:Q30)</f>
        <v>0.58123456790123473</v>
      </c>
    </row>
    <row r="32" spans="1:17" x14ac:dyDescent="0.2">
      <c r="A32" s="26">
        <v>30</v>
      </c>
    </row>
    <row r="33" spans="1:27" x14ac:dyDescent="0.2">
      <c r="A33" s="26">
        <v>31</v>
      </c>
    </row>
    <row r="34" spans="1:27" x14ac:dyDescent="0.2">
      <c r="A34" s="26">
        <v>32</v>
      </c>
    </row>
    <row r="35" spans="1:27" x14ac:dyDescent="0.2">
      <c r="A35" s="26">
        <v>33</v>
      </c>
    </row>
    <row r="36" spans="1:27" x14ac:dyDescent="0.2">
      <c r="A36" s="26">
        <v>34</v>
      </c>
    </row>
    <row r="37" spans="1:27" s="22" customFormat="1" x14ac:dyDescent="0.2">
      <c r="A37" s="26">
        <v>35</v>
      </c>
      <c r="B37"/>
      <c r="C37" s="1"/>
      <c r="D37" s="1"/>
      <c r="E37"/>
      <c r="F37"/>
      <c r="G37"/>
      <c r="H37"/>
      <c r="I37"/>
      <c r="J37"/>
      <c r="K37"/>
      <c r="L37"/>
      <c r="M37"/>
      <c r="N37"/>
      <c r="O37"/>
      <c r="P37"/>
      <c r="Q37"/>
      <c r="R37"/>
      <c r="S37"/>
      <c r="T37"/>
      <c r="U37"/>
      <c r="V37"/>
      <c r="W37"/>
      <c r="X37"/>
      <c r="Y37"/>
      <c r="Z37"/>
      <c r="AA37"/>
    </row>
    <row r="38" spans="1:27" ht="15" customHeight="1" x14ac:dyDescent="0.2"/>
    <row r="43" spans="1:27" x14ac:dyDescent="0.2">
      <c r="U43" s="54" t="s">
        <v>92</v>
      </c>
      <c r="V43" s="60" t="s">
        <v>91</v>
      </c>
      <c r="W43" s="54" t="s">
        <v>6</v>
      </c>
      <c r="X43" s="54" t="s">
        <v>7</v>
      </c>
      <c r="Y43" s="59" t="s">
        <v>8</v>
      </c>
    </row>
    <row r="44" spans="1:27" x14ac:dyDescent="0.2">
      <c r="U44" s="54"/>
      <c r="V44" s="60"/>
      <c r="W44" s="54"/>
      <c r="X44" s="54"/>
      <c r="Y44" s="59"/>
    </row>
    <row r="59" spans="19:20" x14ac:dyDescent="0.2">
      <c r="S59" s="23"/>
      <c r="T59" s="23"/>
    </row>
    <row r="81" spans="2:27" ht="15.75" customHeight="1" x14ac:dyDescent="0.2">
      <c r="R81" s="23"/>
      <c r="U81" s="23"/>
      <c r="V81" s="23"/>
      <c r="W81" s="23"/>
      <c r="X81" s="23"/>
      <c r="Y81" s="23"/>
      <c r="Z81" s="23"/>
      <c r="AA81" s="23"/>
    </row>
    <row r="82" spans="2:27" s="23" customFormat="1" x14ac:dyDescent="0.2">
      <c r="B82"/>
      <c r="C82" s="1"/>
      <c r="D82" s="1"/>
      <c r="E82"/>
      <c r="F82"/>
      <c r="G82"/>
      <c r="H82"/>
      <c r="I82"/>
      <c r="J82"/>
      <c r="K82"/>
      <c r="L82"/>
      <c r="M82"/>
      <c r="N82"/>
      <c r="O82"/>
      <c r="P82"/>
      <c r="Q82"/>
      <c r="R82"/>
      <c r="S82"/>
      <c r="T82"/>
      <c r="U82"/>
      <c r="V82"/>
      <c r="W82"/>
      <c r="X82"/>
      <c r="Y82"/>
      <c r="Z82"/>
      <c r="AA82"/>
    </row>
    <row r="102" spans="19:20" x14ac:dyDescent="0.2">
      <c r="S102" s="23"/>
      <c r="T102" s="23"/>
    </row>
    <row r="124" spans="2:27" x14ac:dyDescent="0.2">
      <c r="R124" s="23"/>
      <c r="U124" s="23"/>
      <c r="V124" s="23"/>
      <c r="W124" s="23"/>
      <c r="X124" s="23"/>
      <c r="Y124" s="23"/>
      <c r="Z124" s="23"/>
      <c r="AA124" s="23"/>
    </row>
    <row r="125" spans="2:27" s="23" customFormat="1" x14ac:dyDescent="0.2">
      <c r="B125"/>
      <c r="C125" s="1"/>
      <c r="D125" s="1"/>
      <c r="E125"/>
      <c r="F125"/>
      <c r="G125"/>
      <c r="H125"/>
      <c r="I125"/>
      <c r="J125"/>
      <c r="K125"/>
      <c r="L125"/>
      <c r="M125"/>
      <c r="N125"/>
      <c r="O125"/>
      <c r="P125"/>
      <c r="Q125"/>
      <c r="R125"/>
      <c r="S125"/>
      <c r="T125"/>
      <c r="U125"/>
      <c r="V125"/>
      <c r="W125"/>
      <c r="X125"/>
      <c r="Y125"/>
      <c r="Z125"/>
      <c r="AA125"/>
    </row>
    <row r="126" spans="2:27" ht="15" customHeight="1" x14ac:dyDescent="0.2"/>
    <row r="199" spans="19:20" ht="15.75" customHeight="1" x14ac:dyDescent="0.2"/>
    <row r="204" spans="19:20" x14ac:dyDescent="0.2">
      <c r="S204" s="23"/>
      <c r="T204" s="23"/>
    </row>
    <row r="226" spans="2:27" x14ac:dyDescent="0.2">
      <c r="R226" s="23"/>
      <c r="U226" s="23"/>
      <c r="V226" s="23"/>
      <c r="W226" s="23"/>
      <c r="X226" s="23"/>
      <c r="Y226" s="23"/>
      <c r="Z226" s="23"/>
      <c r="AA226" s="23"/>
    </row>
    <row r="227" spans="2:27" s="23" customFormat="1" x14ac:dyDescent="0.2">
      <c r="B227"/>
      <c r="C227" s="1"/>
      <c r="D227" s="1"/>
      <c r="E227"/>
      <c r="F227"/>
      <c r="G227"/>
      <c r="H227"/>
      <c r="I227"/>
      <c r="J227"/>
      <c r="K227"/>
      <c r="L227"/>
      <c r="M227"/>
      <c r="N227"/>
      <c r="O227"/>
      <c r="P227"/>
      <c r="Q227"/>
      <c r="R227"/>
      <c r="S227"/>
      <c r="T227"/>
      <c r="U227"/>
      <c r="V227"/>
      <c r="W227"/>
      <c r="X227"/>
      <c r="Y227"/>
      <c r="Z227"/>
      <c r="AA227"/>
    </row>
    <row r="228" spans="2:27" ht="15" customHeight="1" x14ac:dyDescent="0.2"/>
    <row r="287" ht="15.75" customHeight="1" x14ac:dyDescent="0.2"/>
  </sheetData>
  <mergeCells count="33">
    <mergeCell ref="Y43:Y44"/>
    <mergeCell ref="N2:N3"/>
    <mergeCell ref="M2:M3"/>
    <mergeCell ref="Q2:Q3"/>
    <mergeCell ref="U43:U44"/>
    <mergeCell ref="V43:V44"/>
    <mergeCell ref="W43:W44"/>
    <mergeCell ref="O2:O3"/>
    <mergeCell ref="P2:P3"/>
    <mergeCell ref="B9:B12"/>
    <mergeCell ref="K2:L2"/>
    <mergeCell ref="J2:J3"/>
    <mergeCell ref="X43:X44"/>
    <mergeCell ref="A2:A3"/>
    <mergeCell ref="B2:B3"/>
    <mergeCell ref="F2:F3"/>
    <mergeCell ref="I2:I3"/>
    <mergeCell ref="C2:C3"/>
    <mergeCell ref="E2:E3"/>
    <mergeCell ref="D2:D3"/>
    <mergeCell ref="G2:G3"/>
    <mergeCell ref="H2:H3"/>
    <mergeCell ref="B25:B28"/>
    <mergeCell ref="B30:B31"/>
    <mergeCell ref="M22:M24"/>
    <mergeCell ref="B22:B24"/>
    <mergeCell ref="M4:M7"/>
    <mergeCell ref="B4:B7"/>
    <mergeCell ref="M9:M12"/>
    <mergeCell ref="B13:B18"/>
    <mergeCell ref="M13:M18"/>
    <mergeCell ref="M19:M21"/>
    <mergeCell ref="B19:B21"/>
  </mergeCells>
  <conditionalFormatting sqref="O4:P30">
    <cfRule type="dataBar" priority="2097">
      <dataBar>
        <cfvo type="min"/>
        <cfvo type="num" val="1"/>
        <color theme="5" tint="0.59999389629810485"/>
      </dataBar>
      <extLst>
        <ext xmlns:x14="http://schemas.microsoft.com/office/spreadsheetml/2009/9/main" uri="{B025F937-C7B1-47D3-B67F-A62EFF666E3E}">
          <x14:id>{426CAE91-0CE8-4BCE-9A52-BF878557CB65}</x14:id>
        </ext>
      </extLst>
    </cfRule>
  </conditionalFormatting>
  <conditionalFormatting sqref="Q4:Q30">
    <cfRule type="dataBar" priority="2099">
      <dataBar>
        <cfvo type="min"/>
        <cfvo type="num" val="1"/>
        <color theme="6" tint="0.59999389629810485"/>
      </dataBar>
      <extLst>
        <ext xmlns:x14="http://schemas.microsoft.com/office/spreadsheetml/2009/9/main" uri="{B025F937-C7B1-47D3-B67F-A62EFF666E3E}">
          <x14:id>{ED87FA79-935E-4A17-AE43-2B035B78EEB2}</x14:id>
        </ext>
      </extLst>
    </cfRule>
  </conditionalFormatting>
  <conditionalFormatting sqref="J4:J12">
    <cfRule type="dataBar" priority="2137">
      <dataBar>
        <cfvo type="min"/>
        <cfvo type="num" val="1"/>
        <color theme="4" tint="0.59999389629810485"/>
      </dataBar>
      <extLst>
        <ext xmlns:x14="http://schemas.microsoft.com/office/spreadsheetml/2009/9/main" uri="{B025F937-C7B1-47D3-B67F-A62EFF666E3E}">
          <x14:id>{74E82894-1DB4-4099-9082-0A45CAF19D7C}</x14:id>
        </ext>
      </extLst>
    </cfRule>
  </conditionalFormatting>
  <conditionalFormatting sqref="K4:L12">
    <cfRule type="dataBar" priority="2138">
      <dataBar>
        <cfvo type="min"/>
        <cfvo type="num" val="1"/>
        <color theme="4" tint="0.59999389629810485"/>
      </dataBar>
      <extLst>
        <ext xmlns:x14="http://schemas.microsoft.com/office/spreadsheetml/2009/9/main" uri="{B025F937-C7B1-47D3-B67F-A62EFF666E3E}">
          <x14:id>{6B268825-8DD6-458F-A42A-50E99A0846DE}</x14:id>
        </ext>
      </extLst>
    </cfRule>
  </conditionalFormatting>
  <conditionalFormatting sqref="J13:L18 F4:I18 H19:H22">
    <cfRule type="dataBar" priority="2151">
      <dataBar>
        <cfvo type="min"/>
        <cfvo type="num" val="1"/>
        <color theme="4" tint="0.59999389629810485"/>
      </dataBar>
      <extLst>
        <ext xmlns:x14="http://schemas.microsoft.com/office/spreadsheetml/2009/9/main" uri="{B025F937-C7B1-47D3-B67F-A62EFF666E3E}">
          <x14:id>{E16865AF-9F9E-4F1F-9371-3D1DF7679D38}</x14:id>
        </ext>
      </extLst>
    </cfRule>
  </conditionalFormatting>
  <conditionalFormatting sqref="F19:G22 I19:L22">
    <cfRule type="dataBar" priority="2154">
      <dataBar>
        <cfvo type="min"/>
        <cfvo type="num" val="1"/>
        <color theme="4" tint="0.59999389629810485"/>
      </dataBar>
      <extLst>
        <ext xmlns:x14="http://schemas.microsoft.com/office/spreadsheetml/2009/9/main" uri="{B025F937-C7B1-47D3-B67F-A62EFF666E3E}">
          <x14:id>{92951A90-E6E5-6642-BA3C-FA4215CA3015}</x14:id>
        </ext>
      </extLst>
    </cfRule>
  </conditionalFormatting>
  <conditionalFormatting sqref="J23">
    <cfRule type="dataBar" priority="1">
      <dataBar>
        <cfvo type="min"/>
        <cfvo type="num" val="1"/>
        <color theme="4" tint="0.59999389629810485"/>
      </dataBar>
      <extLst>
        <ext xmlns:x14="http://schemas.microsoft.com/office/spreadsheetml/2009/9/main" uri="{B025F937-C7B1-47D3-B67F-A62EFF666E3E}">
          <x14:id>{03FB26B8-C92A-104E-BCA7-3C513FD4A342}</x14:id>
        </ext>
      </extLst>
    </cfRule>
  </conditionalFormatting>
  <conditionalFormatting sqref="K23:L23">
    <cfRule type="dataBar" priority="2">
      <dataBar>
        <cfvo type="min"/>
        <cfvo type="num" val="1"/>
        <color theme="4" tint="0.59999389629810485"/>
      </dataBar>
      <extLst>
        <ext xmlns:x14="http://schemas.microsoft.com/office/spreadsheetml/2009/9/main" uri="{B025F937-C7B1-47D3-B67F-A62EFF666E3E}">
          <x14:id>{F0FB5E56-C4A0-6149-90A3-A6A8C345B850}</x14:id>
        </ext>
      </extLst>
    </cfRule>
  </conditionalFormatting>
  <conditionalFormatting sqref="F23:I23">
    <cfRule type="dataBar" priority="3">
      <dataBar>
        <cfvo type="min"/>
        <cfvo type="num" val="1"/>
        <color theme="4" tint="0.59999389629810485"/>
      </dataBar>
      <extLst>
        <ext xmlns:x14="http://schemas.microsoft.com/office/spreadsheetml/2009/9/main" uri="{B025F937-C7B1-47D3-B67F-A62EFF666E3E}">
          <x14:id>{A7701281-750D-394E-8668-B78F9971137E}</x14:id>
        </ext>
      </extLst>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26CAE91-0CE8-4BCE-9A52-BF878557CB65}">
            <x14:dataBar minLength="0" maxLength="100" gradient="0">
              <x14:cfvo type="autoMin"/>
              <x14:cfvo type="num">
                <xm:f>1</xm:f>
              </x14:cfvo>
              <x14:negativeFillColor rgb="FFFF0000"/>
              <x14:axisColor rgb="FF000000"/>
            </x14:dataBar>
          </x14:cfRule>
          <xm:sqref>O4:P30</xm:sqref>
        </x14:conditionalFormatting>
        <x14:conditionalFormatting xmlns:xm="http://schemas.microsoft.com/office/excel/2006/main">
          <x14:cfRule type="dataBar" id="{ED87FA79-935E-4A17-AE43-2B035B78EEB2}">
            <x14:dataBar minLength="0" maxLength="100" gradient="0">
              <x14:cfvo type="autoMin"/>
              <x14:cfvo type="num">
                <xm:f>1</xm:f>
              </x14:cfvo>
              <x14:negativeFillColor rgb="FFFF0000"/>
              <x14:axisColor rgb="FF000000"/>
            </x14:dataBar>
          </x14:cfRule>
          <xm:sqref>Q4:Q30</xm:sqref>
        </x14:conditionalFormatting>
        <x14:conditionalFormatting xmlns:xm="http://schemas.microsoft.com/office/excel/2006/main">
          <x14:cfRule type="dataBar" id="{74E82894-1DB4-4099-9082-0A45CAF19D7C}">
            <x14:dataBar minLength="0" maxLength="100" gradient="0">
              <x14:cfvo type="autoMin"/>
              <x14:cfvo type="num">
                <xm:f>1</xm:f>
              </x14:cfvo>
              <x14:negativeFillColor rgb="FFFF0000"/>
              <x14:axisColor rgb="FF000000"/>
            </x14:dataBar>
          </x14:cfRule>
          <xm:sqref>J4:J12</xm:sqref>
        </x14:conditionalFormatting>
        <x14:conditionalFormatting xmlns:xm="http://schemas.microsoft.com/office/excel/2006/main">
          <x14:cfRule type="dataBar" id="{6B268825-8DD6-458F-A42A-50E99A0846DE}">
            <x14:dataBar minLength="0" maxLength="100" gradient="0">
              <x14:cfvo type="autoMin"/>
              <x14:cfvo type="num">
                <xm:f>1</xm:f>
              </x14:cfvo>
              <x14:negativeFillColor rgb="FFFF0000"/>
              <x14:axisColor rgb="FF000000"/>
            </x14:dataBar>
          </x14:cfRule>
          <xm:sqref>K4:L12</xm:sqref>
        </x14:conditionalFormatting>
        <x14:conditionalFormatting xmlns:xm="http://schemas.microsoft.com/office/excel/2006/main">
          <x14:cfRule type="dataBar" id="{E16865AF-9F9E-4F1F-9371-3D1DF7679D38}">
            <x14:dataBar minLength="0" maxLength="100" gradient="0">
              <x14:cfvo type="autoMin"/>
              <x14:cfvo type="num">
                <xm:f>1</xm:f>
              </x14:cfvo>
              <x14:negativeFillColor rgb="FFFF0000"/>
              <x14:axisColor rgb="FF000000"/>
            </x14:dataBar>
          </x14:cfRule>
          <xm:sqref>J13:L18 F4:I18 H19:H22</xm:sqref>
        </x14:conditionalFormatting>
        <x14:conditionalFormatting xmlns:xm="http://schemas.microsoft.com/office/excel/2006/main">
          <x14:cfRule type="dataBar" id="{92951A90-E6E5-6642-BA3C-FA4215CA3015}">
            <x14:dataBar minLength="0" maxLength="100" gradient="0">
              <x14:cfvo type="autoMin"/>
              <x14:cfvo type="num">
                <xm:f>1</xm:f>
              </x14:cfvo>
              <x14:negativeFillColor rgb="FFFF0000"/>
              <x14:axisColor rgb="FF000000"/>
            </x14:dataBar>
          </x14:cfRule>
          <xm:sqref>F19:G22 I19:L22</xm:sqref>
        </x14:conditionalFormatting>
        <x14:conditionalFormatting xmlns:xm="http://schemas.microsoft.com/office/excel/2006/main">
          <x14:cfRule type="dataBar" id="{03FB26B8-C92A-104E-BCA7-3C513FD4A342}">
            <x14:dataBar minLength="0" maxLength="100" gradient="0">
              <x14:cfvo type="autoMin"/>
              <x14:cfvo type="num">
                <xm:f>1</xm:f>
              </x14:cfvo>
              <x14:negativeFillColor rgb="FFFF0000"/>
              <x14:axisColor rgb="FF000000"/>
            </x14:dataBar>
          </x14:cfRule>
          <xm:sqref>J23</xm:sqref>
        </x14:conditionalFormatting>
        <x14:conditionalFormatting xmlns:xm="http://schemas.microsoft.com/office/excel/2006/main">
          <x14:cfRule type="dataBar" id="{F0FB5E56-C4A0-6149-90A3-A6A8C345B850}">
            <x14:dataBar minLength="0" maxLength="100" gradient="0">
              <x14:cfvo type="autoMin"/>
              <x14:cfvo type="num">
                <xm:f>1</xm:f>
              </x14:cfvo>
              <x14:negativeFillColor rgb="FFFF0000"/>
              <x14:axisColor rgb="FF000000"/>
            </x14:dataBar>
          </x14:cfRule>
          <xm:sqref>K23:L23</xm:sqref>
        </x14:conditionalFormatting>
        <x14:conditionalFormatting xmlns:xm="http://schemas.microsoft.com/office/excel/2006/main">
          <x14:cfRule type="dataBar" id="{A7701281-750D-394E-8668-B78F9971137E}">
            <x14:dataBar minLength="0" maxLength="100" gradient="0">
              <x14:cfvo type="autoMin"/>
              <x14:cfvo type="num">
                <xm:f>1</xm:f>
              </x14:cfvo>
              <x14:negativeFillColor rgb="FFFF0000"/>
              <x14:axisColor rgb="FF000000"/>
            </x14:dataBar>
          </x14:cfRule>
          <xm:sqref>F23:I23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0C5E7-5A5E-ED40-98A1-87866B4BCEAE}">
  <dimension ref="A1:C2"/>
  <sheetViews>
    <sheetView workbookViewId="0">
      <selection activeCell="B26" sqref="B26"/>
    </sheetView>
  </sheetViews>
  <sheetFormatPr baseColWidth="10" defaultRowHeight="15" x14ac:dyDescent="0.2"/>
  <cols>
    <col min="1" max="1" width="15.33203125" bestFit="1" customWidth="1"/>
    <col min="2" max="2" width="27.5" bestFit="1" customWidth="1"/>
    <col min="3" max="3" width="17.83203125" bestFit="1" customWidth="1"/>
  </cols>
  <sheetData>
    <row r="1" spans="1:3" x14ac:dyDescent="0.2">
      <c r="A1" s="17" t="s">
        <v>88</v>
      </c>
      <c r="B1" s="17" t="s">
        <v>90</v>
      </c>
      <c r="C1" s="18" t="s">
        <v>89</v>
      </c>
    </row>
    <row r="2" spans="1:3" x14ac:dyDescent="0.2">
      <c r="A2" s="17">
        <v>34</v>
      </c>
      <c r="B2" s="17">
        <v>24</v>
      </c>
      <c r="C2" s="17">
        <v>10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E185"/>
  <sheetViews>
    <sheetView topLeftCell="E64" workbookViewId="0">
      <selection activeCell="J95" sqref="J95"/>
    </sheetView>
  </sheetViews>
  <sheetFormatPr baseColWidth="10" defaultColWidth="11.5" defaultRowHeight="15" x14ac:dyDescent="0.2"/>
  <cols>
    <col min="1" max="1" width="21.5" customWidth="1"/>
    <col min="2" max="2" width="14.1640625" customWidth="1"/>
    <col min="3" max="3" width="22.5" customWidth="1"/>
    <col min="4" max="4" width="22.33203125" customWidth="1"/>
    <col min="5" max="5" width="34.5" customWidth="1"/>
    <col min="6" max="6" width="24.1640625" customWidth="1"/>
    <col min="7" max="7" width="14.5" customWidth="1"/>
    <col min="10" max="10" width="17.83203125" customWidth="1"/>
    <col min="11" max="11" width="15.6640625" customWidth="1"/>
    <col min="12" max="12" width="19.1640625" customWidth="1"/>
    <col min="14" max="14" width="15.5" bestFit="1" customWidth="1"/>
    <col min="15" max="15" width="17" customWidth="1"/>
    <col min="16" max="16" width="19.33203125" customWidth="1"/>
    <col min="18" max="19" width="20" customWidth="1"/>
    <col min="24" max="24" width="17.5" bestFit="1" customWidth="1"/>
    <col min="26" max="26" width="15.5" customWidth="1"/>
    <col min="27" max="27" width="15.83203125" bestFit="1" customWidth="1"/>
    <col min="30" max="30" width="13.33203125" bestFit="1" customWidth="1"/>
    <col min="31" max="31" width="15.83203125" bestFit="1" customWidth="1"/>
  </cols>
  <sheetData>
    <row r="1" spans="1:31" x14ac:dyDescent="0.2">
      <c r="B1" s="4" t="s">
        <v>13</v>
      </c>
      <c r="C1" s="4" t="s">
        <v>14</v>
      </c>
      <c r="D1" s="4" t="s">
        <v>15</v>
      </c>
      <c r="E1" s="4" t="s">
        <v>16</v>
      </c>
      <c r="F1" s="4" t="s">
        <v>17</v>
      </c>
      <c r="G1" s="5" t="s">
        <v>9</v>
      </c>
      <c r="J1" s="61" t="s">
        <v>18</v>
      </c>
      <c r="K1" s="61"/>
      <c r="L1" s="61"/>
      <c r="R1" s="61" t="s">
        <v>19</v>
      </c>
      <c r="S1" s="61"/>
      <c r="T1" s="61"/>
      <c r="U1" s="61"/>
      <c r="V1" s="61"/>
    </row>
    <row r="2" spans="1:31" x14ac:dyDescent="0.2">
      <c r="A2" s="62" t="s">
        <v>10</v>
      </c>
      <c r="B2" s="6" t="s">
        <v>20</v>
      </c>
      <c r="C2" s="7">
        <f>AVERAGE('Flujos Automatizados Movil'!F4:F8)</f>
        <v>1</v>
      </c>
      <c r="D2" s="7">
        <f>AVERAGE('Flujos Automatizados Movil'!G4:G8)</f>
        <v>1</v>
      </c>
      <c r="E2" s="7">
        <f>AVERAGE(C2:D2)</f>
        <v>1</v>
      </c>
      <c r="F2" s="7">
        <f>AVERAGE('Flujos Automatizados Movil'!O4:O10)</f>
        <v>1</v>
      </c>
      <c r="G2" s="7">
        <f>AVERAGE(E2:F2)</f>
        <v>1</v>
      </c>
      <c r="H2" s="6"/>
      <c r="J2" s="17" t="s">
        <v>21</v>
      </c>
      <c r="K2" s="17" t="s">
        <v>22</v>
      </c>
      <c r="L2" s="18" t="s">
        <v>23</v>
      </c>
      <c r="R2" s="18"/>
      <c r="S2" s="17" t="s">
        <v>12</v>
      </c>
      <c r="T2" s="17" t="s">
        <v>24</v>
      </c>
      <c r="U2" s="17" t="s">
        <v>25</v>
      </c>
      <c r="V2" s="17" t="s">
        <v>26</v>
      </c>
      <c r="Z2" s="18"/>
      <c r="AA2" s="17" t="s">
        <v>27</v>
      </c>
      <c r="AB2" s="17" t="s">
        <v>28</v>
      </c>
      <c r="AC2" s="17" t="s">
        <v>29</v>
      </c>
      <c r="AD2" s="17" t="s">
        <v>30</v>
      </c>
      <c r="AE2" s="18" t="s">
        <v>31</v>
      </c>
    </row>
    <row r="3" spans="1:31" x14ac:dyDescent="0.2">
      <c r="A3" s="62"/>
      <c r="B3" s="6" t="s">
        <v>32</v>
      </c>
      <c r="C3" s="7">
        <f>AVERAGE('Flujos Automatizados Movil'!F4:F8)</f>
        <v>1</v>
      </c>
      <c r="D3" s="7">
        <f>AVERAGE('Flujos Automatizados Movil'!G4:G8)</f>
        <v>1</v>
      </c>
      <c r="E3" s="7">
        <f>AVERAGE(C3:D3)</f>
        <v>1</v>
      </c>
      <c r="F3" s="7">
        <f>AVERAGE('Flujos Automatizados Movil'!P4:P10)</f>
        <v>0.77619047619047621</v>
      </c>
      <c r="G3" s="7">
        <f>AVERAGE(E3:F3)</f>
        <v>0.88809523809523805</v>
      </c>
      <c r="H3" s="6"/>
      <c r="J3" s="19" t="e">
        <f>AVERAGE('Flujos Automatizados Movil'!Q6:Q7,'Flujos Automatizados Movil'!#REF!,'Flujos Automatizados Movil'!#REF!,'Flujos Automatizados Movil'!#REF!,'Flujos Automatizados Movil'!#REF!)</f>
        <v>#REF!</v>
      </c>
      <c r="K3" s="19" t="e">
        <f>AVERAGE('Flujos Automatizados Movil'!Q4:Q5,'Flujos Automatizados Movil'!#REF!,'Flujos Automatizados Movil'!Q9:Q10,'Flujos Automatizados Movil'!#REF!,'Flujos Automatizados Movil'!#REF!)</f>
        <v>#REF!</v>
      </c>
      <c r="L3" s="19" t="e">
        <f>AVERAGE('Flujos Automatizados Movil'!Q8,'Flujos Automatizados Movil'!#REF!,'Flujos Automatizados Movil'!#REF!,'Flujos Automatizados Movil'!#REF!)</f>
        <v>#REF!</v>
      </c>
      <c r="R3" s="17" t="s">
        <v>21</v>
      </c>
      <c r="S3" s="19" t="e">
        <f>J142</f>
        <v>#REF!</v>
      </c>
      <c r="T3" s="19" t="e">
        <f>J95</f>
        <v>#REF!</v>
      </c>
      <c r="U3" s="19" t="e">
        <f>J49</f>
        <v>#REF!</v>
      </c>
      <c r="V3" s="19" t="e">
        <f>J3</f>
        <v>#REF!</v>
      </c>
      <c r="Z3" s="17" t="s">
        <v>21</v>
      </c>
      <c r="AA3" s="19" t="e">
        <f>J181</f>
        <v>#REF!</v>
      </c>
      <c r="AB3" s="19" t="e">
        <f>J172</f>
        <v>#REF!</v>
      </c>
      <c r="AC3" s="19" t="e">
        <f>J154</f>
        <v>#REF!</v>
      </c>
      <c r="AD3" s="19" t="e">
        <f>J163</f>
        <v>#REF!</v>
      </c>
      <c r="AE3" s="19">
        <v>0</v>
      </c>
    </row>
    <row r="4" spans="1:31" x14ac:dyDescent="0.2">
      <c r="A4" s="62"/>
      <c r="B4" s="6" t="s">
        <v>33</v>
      </c>
      <c r="C4" s="7">
        <f>AVERAGE('Flujos Automatizados Movil'!F4:F8)</f>
        <v>1</v>
      </c>
      <c r="D4" s="7">
        <f>AVERAGE('Flujos Automatizados Movil'!G4:G8)</f>
        <v>1</v>
      </c>
      <c r="E4" s="7">
        <f>AVERAGE(C4:D4)</f>
        <v>1</v>
      </c>
      <c r="F4" s="7" t="e">
        <f>AVERAGE('Flujos Automatizados Movil'!#REF!)</f>
        <v>#REF!</v>
      </c>
      <c r="G4" s="7" t="e">
        <f>AVERAGE(E4:F4)</f>
        <v>#REF!</v>
      </c>
      <c r="H4" s="6"/>
      <c r="R4" s="17" t="s">
        <v>22</v>
      </c>
      <c r="S4" s="19" t="e">
        <f>K142</f>
        <v>#REF!</v>
      </c>
      <c r="T4" s="19" t="e">
        <f>K49</f>
        <v>#REF!</v>
      </c>
      <c r="U4" s="19" t="e">
        <f>K49</f>
        <v>#REF!</v>
      </c>
      <c r="V4" s="19" t="e">
        <f>K3</f>
        <v>#REF!</v>
      </c>
      <c r="Z4" s="17" t="s">
        <v>22</v>
      </c>
      <c r="AA4" s="19" t="e">
        <f>K181</f>
        <v>#REF!</v>
      </c>
      <c r="AB4" s="19" t="e">
        <f>K172</f>
        <v>#REF!</v>
      </c>
      <c r="AC4" s="19" t="e">
        <f>K154</f>
        <v>#REF!</v>
      </c>
      <c r="AD4" s="19" t="e">
        <f>K163</f>
        <v>#REF!</v>
      </c>
      <c r="AE4" s="19">
        <v>0</v>
      </c>
    </row>
    <row r="5" spans="1:31" x14ac:dyDescent="0.2">
      <c r="A5" s="62"/>
      <c r="B5" s="6" t="s">
        <v>34</v>
      </c>
      <c r="C5" s="7">
        <f>AVERAGE('Flujos Automatizados Movil'!F4:F8)</f>
        <v>1</v>
      </c>
      <c r="D5" s="7">
        <f>AVERAGE('Flujos Automatizados Movil'!G4:G8)</f>
        <v>1</v>
      </c>
      <c r="E5" s="7">
        <f>AVERAGE(C5:D5)</f>
        <v>1</v>
      </c>
      <c r="F5" s="7" t="e">
        <f>AVERAGE('Flujos Automatizados Movil'!#REF!)</f>
        <v>#REF!</v>
      </c>
      <c r="G5" s="7" t="e">
        <f>AVERAGE(E5:F5)</f>
        <v>#REF!</v>
      </c>
      <c r="H5" s="6"/>
      <c r="J5" s="61" t="s">
        <v>35</v>
      </c>
      <c r="K5" s="61"/>
      <c r="L5" s="61"/>
      <c r="R5" s="17" t="s">
        <v>23</v>
      </c>
      <c r="S5" s="19" t="e">
        <f>L142</f>
        <v>#REF!</v>
      </c>
      <c r="T5" s="19" t="e">
        <f>L95</f>
        <v>#REF!</v>
      </c>
      <c r="U5" s="19" t="e">
        <f>L49</f>
        <v>#REF!</v>
      </c>
      <c r="V5" s="19" t="e">
        <f>L3</f>
        <v>#REF!</v>
      </c>
      <c r="Z5" s="17" t="s">
        <v>23</v>
      </c>
      <c r="AA5" s="19" t="e">
        <f>L181</f>
        <v>#REF!</v>
      </c>
      <c r="AB5" s="19" t="e">
        <f>L172</f>
        <v>#REF!</v>
      </c>
      <c r="AC5" s="19" t="e">
        <f>L154</f>
        <v>#REF!</v>
      </c>
      <c r="AD5" s="19" t="e">
        <f>L163</f>
        <v>#REF!</v>
      </c>
      <c r="AE5" s="19">
        <v>0</v>
      </c>
    </row>
    <row r="6" spans="1:31" x14ac:dyDescent="0.2">
      <c r="A6" s="62"/>
      <c r="B6" s="8" t="s">
        <v>36</v>
      </c>
      <c r="C6" s="7">
        <f>AVERAGE(C2:C5)</f>
        <v>1</v>
      </c>
      <c r="D6" s="7">
        <f>AVERAGE(D2:D5)</f>
        <v>1</v>
      </c>
      <c r="E6" s="7">
        <f>AVERAGE(E2:E5)</f>
        <v>1</v>
      </c>
      <c r="F6" s="7" t="e">
        <f t="shared" ref="F6" si="0">AVERAGE(F2:F5)</f>
        <v>#REF!</v>
      </c>
      <c r="G6" s="7" t="e">
        <f>AVERAGE(G2:G5)</f>
        <v>#REF!</v>
      </c>
      <c r="H6" s="6"/>
      <c r="J6" s="17" t="s">
        <v>21</v>
      </c>
      <c r="K6" s="17" t="s">
        <v>22</v>
      </c>
      <c r="L6" s="18" t="s">
        <v>23</v>
      </c>
    </row>
    <row r="7" spans="1:31" x14ac:dyDescent="0.2">
      <c r="B7" s="6"/>
      <c r="C7" s="6"/>
      <c r="D7" s="6"/>
      <c r="E7" s="6"/>
      <c r="F7" s="7"/>
      <c r="G7" s="6"/>
      <c r="H7" s="6"/>
      <c r="J7" s="19" t="e">
        <f>AVERAGE('Flujos Automatizados Movil'!#REF!,'Flujos Automatizados Movil'!#REF!,'Flujos Automatizados Movil'!#REF!,'Flujos Automatizados Movil'!#REF!,'Flujos Automatizados Movil'!#REF!)</f>
        <v>#REF!</v>
      </c>
      <c r="K7" s="19" t="e">
        <f>AVERAGE('Flujos Automatizados Movil'!#REF!,'Flujos Automatizados Movil'!#REF!,'Flujos Automatizados Movil'!#REF!,'Flujos Automatizados Movil'!#REF!,'Flujos Automatizados Movil'!#REF!,'Flujos Automatizados Movil'!#REF!)</f>
        <v>#REF!</v>
      </c>
      <c r="L7" s="19" t="e">
        <f>AVERAGE('Flujos Automatizados Movil'!#REF!,'Flujos Automatizados Movil'!#REF!,'Flujos Automatizados Movil'!#REF!,'Flujos Automatizados Movil'!#REF!)</f>
        <v>#REF!</v>
      </c>
    </row>
    <row r="29" spans="1:22" x14ac:dyDescent="0.2">
      <c r="A29" s="9"/>
      <c r="B29" s="10"/>
      <c r="T29" s="21" t="s">
        <v>37</v>
      </c>
      <c r="U29" s="21" t="s">
        <v>25</v>
      </c>
      <c r="V29" s="21" t="s">
        <v>24</v>
      </c>
    </row>
    <row r="30" spans="1:22" x14ac:dyDescent="0.2">
      <c r="A30" s="9"/>
      <c r="B30" s="10"/>
      <c r="R30" t="s">
        <v>38</v>
      </c>
      <c r="T30">
        <v>11</v>
      </c>
      <c r="U30">
        <v>8</v>
      </c>
      <c r="V30">
        <v>7</v>
      </c>
    </row>
    <row r="31" spans="1:22" x14ac:dyDescent="0.2">
      <c r="R31" t="s">
        <v>39</v>
      </c>
      <c r="T31">
        <v>6</v>
      </c>
      <c r="U31">
        <v>4</v>
      </c>
      <c r="V31">
        <v>18</v>
      </c>
    </row>
    <row r="32" spans="1:22" x14ac:dyDescent="0.2">
      <c r="R32" t="s">
        <v>40</v>
      </c>
      <c r="T32">
        <v>19</v>
      </c>
      <c r="U32">
        <v>6</v>
      </c>
      <c r="V32">
        <v>32</v>
      </c>
    </row>
    <row r="33" spans="1:22" x14ac:dyDescent="0.2">
      <c r="R33" t="s">
        <v>41</v>
      </c>
      <c r="T33">
        <f>SUM(T30:T32)</f>
        <v>36</v>
      </c>
      <c r="U33">
        <f t="shared" ref="U33:V33" si="1">SUM(U30:U32)</f>
        <v>18</v>
      </c>
      <c r="V33">
        <f t="shared" si="1"/>
        <v>57</v>
      </c>
    </row>
    <row r="35" spans="1:22" x14ac:dyDescent="0.2">
      <c r="T35" s="21" t="s">
        <v>37</v>
      </c>
      <c r="U35" s="21" t="s">
        <v>25</v>
      </c>
      <c r="V35" s="21" t="s">
        <v>24</v>
      </c>
    </row>
    <row r="36" spans="1:22" x14ac:dyDescent="0.2">
      <c r="R36" t="s">
        <v>42</v>
      </c>
      <c r="T36">
        <f>T33*3</f>
        <v>108</v>
      </c>
      <c r="U36">
        <f>U33*3</f>
        <v>54</v>
      </c>
      <c r="V36">
        <f>V33*3</f>
        <v>171</v>
      </c>
    </row>
    <row r="37" spans="1:22" x14ac:dyDescent="0.2">
      <c r="R37" t="s">
        <v>43</v>
      </c>
      <c r="T37">
        <f>T36*20/60</f>
        <v>36</v>
      </c>
      <c r="U37">
        <f>U36*20/60</f>
        <v>18</v>
      </c>
      <c r="V37">
        <f>V36*20/60</f>
        <v>57</v>
      </c>
    </row>
    <row r="38" spans="1:22" x14ac:dyDescent="0.2">
      <c r="R38" t="s">
        <v>44</v>
      </c>
    </row>
    <row r="47" spans="1:22" x14ac:dyDescent="0.2">
      <c r="B47" s="4" t="s">
        <v>13</v>
      </c>
      <c r="C47" s="4" t="s">
        <v>14</v>
      </c>
      <c r="D47" s="4" t="s">
        <v>15</v>
      </c>
      <c r="E47" s="4" t="s">
        <v>16</v>
      </c>
      <c r="F47" s="4" t="s">
        <v>17</v>
      </c>
      <c r="G47" s="5" t="s">
        <v>9</v>
      </c>
      <c r="J47" s="61" t="s">
        <v>45</v>
      </c>
      <c r="K47" s="61"/>
      <c r="L47" s="61"/>
    </row>
    <row r="48" spans="1:22" x14ac:dyDescent="0.2">
      <c r="A48" s="62" t="s">
        <v>46</v>
      </c>
      <c r="B48" s="6" t="s">
        <v>20</v>
      </c>
      <c r="C48" s="7" t="e">
        <f>AVERAGE('Flujos Automatizados Movil'!#REF!)</f>
        <v>#REF!</v>
      </c>
      <c r="D48" s="7" t="e">
        <f>AVERAGE('Flujos Automatizados Movil'!#REF!)</f>
        <v>#REF!</v>
      </c>
      <c r="E48" s="7" t="e">
        <f>AVERAGE(C48:D48)</f>
        <v>#REF!</v>
      </c>
      <c r="F48" s="7" t="e">
        <f>AVERAGE('Flujos Automatizados Movil'!#REF!)</f>
        <v>#REF!</v>
      </c>
      <c r="G48" s="7" t="e">
        <f>AVERAGE(E48:F48)</f>
        <v>#REF!</v>
      </c>
      <c r="J48" s="17" t="s">
        <v>21</v>
      </c>
      <c r="K48" s="17" t="s">
        <v>22</v>
      </c>
      <c r="L48" s="18" t="s">
        <v>23</v>
      </c>
    </row>
    <row r="49" spans="1:12" x14ac:dyDescent="0.2">
      <c r="A49" s="62"/>
      <c r="B49" s="6" t="s">
        <v>32</v>
      </c>
      <c r="C49" s="7" t="e">
        <f>AVERAGE('Flujos Automatizados Movil'!#REF!)</f>
        <v>#REF!</v>
      </c>
      <c r="D49" s="7" t="e">
        <f>AVERAGE('Flujos Automatizados Movil'!#REF!)</f>
        <v>#REF!</v>
      </c>
      <c r="E49" s="7" t="e">
        <f>AVERAGE(C49:D49)</f>
        <v>#REF!</v>
      </c>
      <c r="F49" s="7" t="e">
        <f>AVERAGE('Flujos Automatizados Movil'!#REF!)</f>
        <v>#REF!</v>
      </c>
      <c r="G49" s="7" t="e">
        <f>AVERAGE(E49:F49)</f>
        <v>#REF!</v>
      </c>
      <c r="J49" s="19" t="e">
        <f>AVERAGE('Flujos Automatizados Movil'!#REF!,'Flujos Automatizados Movil'!#REF!,'Flujos Automatizados Movil'!#REF!,'Flujos Automatizados Movil'!#REF!)</f>
        <v>#REF!</v>
      </c>
      <c r="K49" s="19" t="e">
        <f>AVERAGE('Flujos Automatizados Movil'!#REF!,'Flujos Automatizados Movil'!#REF!,'Flujos Automatizados Movil'!#REF!,'Flujos Automatizados Movil'!#REF!)</f>
        <v>#REF!</v>
      </c>
      <c r="L49" s="19" t="e">
        <f>AVERAGE('Flujos Automatizados Movil'!#REF!,'Flujos Automatizados Movil'!#REF!,'Flujos Automatizados Movil'!#REF!)</f>
        <v>#REF!</v>
      </c>
    </row>
    <row r="50" spans="1:12" x14ac:dyDescent="0.2">
      <c r="A50" s="62"/>
      <c r="B50" s="6" t="s">
        <v>33</v>
      </c>
      <c r="C50" s="7" t="e">
        <f>AVERAGE('Flujos Automatizados Movil'!#REF!)</f>
        <v>#REF!</v>
      </c>
      <c r="D50" s="7" t="e">
        <f>AVERAGE('Flujos Automatizados Movil'!#REF!)</f>
        <v>#REF!</v>
      </c>
      <c r="E50" s="7" t="e">
        <f>AVERAGE(C50:D50)</f>
        <v>#REF!</v>
      </c>
      <c r="F50" s="7">
        <v>0</v>
      </c>
      <c r="G50" s="7" t="e">
        <f>AVERAGE(E50:F50)</f>
        <v>#REF!</v>
      </c>
    </row>
    <row r="51" spans="1:12" x14ac:dyDescent="0.2">
      <c r="A51" s="62"/>
      <c r="B51" s="6" t="s">
        <v>34</v>
      </c>
      <c r="C51" s="7" t="e">
        <f>AVERAGE('Flujos Automatizados Movil'!#REF!)</f>
        <v>#REF!</v>
      </c>
      <c r="D51" s="7" t="e">
        <f>AVERAGE('Flujos Automatizados Movil'!#REF!)</f>
        <v>#REF!</v>
      </c>
      <c r="E51" s="7" t="e">
        <f>AVERAGE(C51:D51)</f>
        <v>#REF!</v>
      </c>
      <c r="F51" s="7">
        <v>0</v>
      </c>
      <c r="G51" s="7" t="e">
        <f>AVERAGE(E51:F51)</f>
        <v>#REF!</v>
      </c>
      <c r="J51" s="61" t="s">
        <v>47</v>
      </c>
      <c r="K51" s="61"/>
      <c r="L51" s="61"/>
    </row>
    <row r="52" spans="1:12" x14ac:dyDescent="0.2">
      <c r="A52" s="62"/>
      <c r="B52" s="8" t="s">
        <v>36</v>
      </c>
      <c r="C52" s="7" t="e">
        <f>AVERAGE(C48:C51)</f>
        <v>#REF!</v>
      </c>
      <c r="D52" s="7" t="e">
        <f>AVERAGE(D48:D51)</f>
        <v>#REF!</v>
      </c>
      <c r="E52" s="7" t="e">
        <f>AVERAGE(E48:E51)</f>
        <v>#REF!</v>
      </c>
      <c r="F52" s="7" t="e">
        <f t="shared" ref="F52" si="2">AVERAGE(F48:F51)</f>
        <v>#REF!</v>
      </c>
      <c r="G52" s="7" t="e">
        <f>AVERAGE(G48:G51)</f>
        <v>#REF!</v>
      </c>
      <c r="J52" s="17" t="s">
        <v>21</v>
      </c>
      <c r="K52" s="17" t="s">
        <v>22</v>
      </c>
      <c r="L52" s="18" t="s">
        <v>23</v>
      </c>
    </row>
    <row r="53" spans="1:12" x14ac:dyDescent="0.2">
      <c r="J53" s="19" t="e">
        <f>AVERAGE('Flujos Automatizados Movil'!#REF!,'Flujos Automatizados Movil'!#REF!,'Flujos Automatizados Movil'!#REF!,'Flujos Automatizados Movil'!#REF!)</f>
        <v>#REF!</v>
      </c>
      <c r="K53" s="19" t="e">
        <f>AVERAGE('Flujos Automatizados Movil'!#REF!,'Flujos Automatizados Movil'!#REF!,'Flujos Automatizados Movil'!#REF!,'Flujos Automatizados Movil'!#REF!)</f>
        <v>#REF!</v>
      </c>
      <c r="L53" s="19" t="e">
        <f>AVERAGE('Flujos Automatizados Movil'!#REF!,'Flujos Automatizados Movil'!#REF!,'Flujos Automatizados Movil'!#REF!)</f>
        <v>#REF!</v>
      </c>
    </row>
    <row r="93" spans="1:12" x14ac:dyDescent="0.2">
      <c r="B93" s="4" t="s">
        <v>13</v>
      </c>
      <c r="C93" s="4" t="s">
        <v>14</v>
      </c>
      <c r="D93" s="4" t="s">
        <v>15</v>
      </c>
      <c r="E93" s="4" t="s">
        <v>16</v>
      </c>
      <c r="F93" s="4" t="s">
        <v>17</v>
      </c>
      <c r="G93" s="5" t="s">
        <v>9</v>
      </c>
      <c r="J93" s="61" t="s">
        <v>48</v>
      </c>
      <c r="K93" s="61"/>
      <c r="L93" s="61"/>
    </row>
    <row r="94" spans="1:12" x14ac:dyDescent="0.2">
      <c r="A94" s="62" t="s">
        <v>49</v>
      </c>
      <c r="B94" s="6" t="s">
        <v>20</v>
      </c>
      <c r="C94" s="7" t="e">
        <f>AVERAGE('Flujos Automatizados Movil'!#REF!)</f>
        <v>#REF!</v>
      </c>
      <c r="D94" s="7" t="e">
        <f>AVERAGE('Flujos Automatizados Movil'!#REF!)</f>
        <v>#REF!</v>
      </c>
      <c r="E94" s="7" t="e">
        <f>AVERAGE(C94:D94)</f>
        <v>#REF!</v>
      </c>
      <c r="F94" s="7" t="e">
        <f>AVERAGE('Flujos Automatizados Movil'!#REF!)</f>
        <v>#REF!</v>
      </c>
      <c r="G94" s="7" t="e">
        <f>AVERAGE(E94:F94)</f>
        <v>#REF!</v>
      </c>
      <c r="J94" s="17" t="s">
        <v>21</v>
      </c>
      <c r="K94" s="17" t="s">
        <v>22</v>
      </c>
      <c r="L94" s="18" t="s">
        <v>23</v>
      </c>
    </row>
    <row r="95" spans="1:12" x14ac:dyDescent="0.2">
      <c r="A95" s="62"/>
      <c r="B95" s="6" t="s">
        <v>32</v>
      </c>
      <c r="C95" s="7" t="e">
        <f>AVERAGE('Flujos Automatizados Movil'!#REF!)</f>
        <v>#REF!</v>
      </c>
      <c r="D95" s="7" t="e">
        <f>AVERAGE('Flujos Automatizados Movil'!#REF!)</f>
        <v>#REF!</v>
      </c>
      <c r="E95" s="7" t="e">
        <f>AVERAGE(C95:D95)</f>
        <v>#REF!</v>
      </c>
      <c r="F95" s="7" t="e">
        <f>AVERAGE('Flujos Automatizados Movil'!#REF!)</f>
        <v>#REF!</v>
      </c>
      <c r="G95" s="7" t="e">
        <f>AVERAGE(E95:F95)</f>
        <v>#REF!</v>
      </c>
      <c r="J95" s="19" t="e">
        <f>AVERAGE('Flujos Automatizados Movil'!#REF!,'Flujos Automatizados Movil'!#REF!,'Flujos Automatizados Movil'!#REF!,'Flujos Automatizados Movil'!#REF!,'Flujos Automatizados Movil'!#REF!)</f>
        <v>#REF!</v>
      </c>
      <c r="K95" s="19" t="e">
        <f>AVERAGE('Flujos Automatizados Movil'!#REF!,'Flujos Automatizados Movil'!#REF!,'Flujos Automatizados Movil'!#REF!,'Flujos Automatizados Movil'!#REF!,'Flujos Automatizados Movil'!#REF!)</f>
        <v>#REF!</v>
      </c>
      <c r="L95" s="19" t="e">
        <f>AVERAGE('Flujos Automatizados Movil'!#REF!,'Flujos Automatizados Movil'!#REF!,'Flujos Automatizados Movil'!#REF!,'Flujos Automatizados Movil'!#REF!)</f>
        <v>#REF!</v>
      </c>
    </row>
    <row r="96" spans="1:12" x14ac:dyDescent="0.2">
      <c r="A96" s="62"/>
      <c r="B96" s="6" t="s">
        <v>33</v>
      </c>
      <c r="C96" s="7" t="e">
        <f>AVERAGE('Flujos Automatizados Movil'!#REF!)</f>
        <v>#REF!</v>
      </c>
      <c r="D96" s="7" t="e">
        <f>AVERAGE('Flujos Automatizados Movil'!#REF!)</f>
        <v>#REF!</v>
      </c>
      <c r="E96" s="7" t="e">
        <f>AVERAGE(C96:D96)</f>
        <v>#REF!</v>
      </c>
      <c r="F96" s="7">
        <v>0</v>
      </c>
      <c r="G96" s="7" t="e">
        <f>AVERAGE(E96:F96)</f>
        <v>#REF!</v>
      </c>
    </row>
    <row r="97" spans="1:12" x14ac:dyDescent="0.2">
      <c r="A97" s="62"/>
      <c r="B97" s="6" t="s">
        <v>34</v>
      </c>
      <c r="C97" s="7" t="e">
        <f>AVERAGE('Flujos Automatizados Movil'!#REF!)</f>
        <v>#REF!</v>
      </c>
      <c r="D97" s="7" t="e">
        <f>AVERAGE('Flujos Automatizados Movil'!#REF!)</f>
        <v>#REF!</v>
      </c>
      <c r="E97" s="7" t="e">
        <f>AVERAGE(C97:D97)</f>
        <v>#REF!</v>
      </c>
      <c r="F97" s="7">
        <v>0</v>
      </c>
      <c r="G97" s="7" t="e">
        <f>AVERAGE(E97:F97)</f>
        <v>#REF!</v>
      </c>
      <c r="J97" s="61" t="s">
        <v>50</v>
      </c>
      <c r="K97" s="61"/>
      <c r="L97" s="61"/>
    </row>
    <row r="98" spans="1:12" x14ac:dyDescent="0.2">
      <c r="A98" s="62"/>
      <c r="B98" s="8" t="s">
        <v>36</v>
      </c>
      <c r="C98" s="7" t="e">
        <f>AVERAGE(C94:C97)</f>
        <v>#REF!</v>
      </c>
      <c r="D98" s="7" t="e">
        <f>AVERAGE(D94:D97)</f>
        <v>#REF!</v>
      </c>
      <c r="E98" s="7" t="e">
        <f>AVERAGE(E94:E97)</f>
        <v>#REF!</v>
      </c>
      <c r="F98" s="7" t="e">
        <f t="shared" ref="F98" si="3">AVERAGE(F94:F97)</f>
        <v>#REF!</v>
      </c>
      <c r="G98" s="7" t="e">
        <f>AVERAGE(G94:G97)</f>
        <v>#REF!</v>
      </c>
      <c r="J98" s="17" t="s">
        <v>21</v>
      </c>
      <c r="K98" s="17" t="s">
        <v>22</v>
      </c>
      <c r="L98" s="18" t="s">
        <v>23</v>
      </c>
    </row>
    <row r="99" spans="1:12" x14ac:dyDescent="0.2">
      <c r="J99" s="19" t="e">
        <f>AVERAGE('Flujos Automatizados Movil'!#REF!,'Flujos Automatizados Movil'!#REF!,'Flujos Automatizados Movil'!#REF!,'Flujos Automatizados Movil'!#REF!,'Flujos Automatizados Movil'!#REF!)</f>
        <v>#REF!</v>
      </c>
      <c r="K99" s="19" t="e">
        <f>AVERAGE('Flujos Automatizados Movil'!#REF!,'Flujos Automatizados Movil'!#REF!,'Flujos Automatizados Movil'!#REF!,'Flujos Automatizados Movil'!#REF!,'Flujos Automatizados Movil'!#REF!)</f>
        <v>#REF!</v>
      </c>
      <c r="L99" s="19" t="e">
        <f>AVERAGE('Flujos Automatizados Movil'!#REF!,'Flujos Automatizados Movil'!#REF!,'Flujos Automatizados Movil'!#REF!,'Flujos Automatizados Movil'!#REF!)</f>
        <v>#REF!</v>
      </c>
    </row>
    <row r="140" spans="1:12" x14ac:dyDescent="0.2">
      <c r="B140" s="4" t="s">
        <v>13</v>
      </c>
      <c r="C140" s="4" t="s">
        <v>14</v>
      </c>
      <c r="D140" s="4" t="s">
        <v>15</v>
      </c>
      <c r="E140" s="4" t="s">
        <v>16</v>
      </c>
      <c r="F140" s="4" t="s">
        <v>17</v>
      </c>
      <c r="G140" s="5" t="s">
        <v>9</v>
      </c>
      <c r="J140" s="61" t="s">
        <v>51</v>
      </c>
      <c r="K140" s="61"/>
      <c r="L140" s="61"/>
    </row>
    <row r="141" spans="1:12" x14ac:dyDescent="0.2">
      <c r="A141" s="62" t="s">
        <v>49</v>
      </c>
      <c r="B141" s="6" t="s">
        <v>20</v>
      </c>
      <c r="C141" s="7" t="e">
        <f>AVERAGE('Flujos Automatizados Movil'!#REF!)</f>
        <v>#REF!</v>
      </c>
      <c r="D141" s="7" t="e">
        <f>AVERAGE('Flujos Automatizados Movil'!#REF!)</f>
        <v>#REF!</v>
      </c>
      <c r="E141" s="7" t="e">
        <f>AVERAGE(C141:D141)</f>
        <v>#REF!</v>
      </c>
      <c r="F141" s="7" t="e">
        <f>AVERAGE('Flujos Automatizados Movil'!#REF!)</f>
        <v>#REF!</v>
      </c>
      <c r="G141" s="7" t="e">
        <f>AVERAGE(E141:F141)</f>
        <v>#REF!</v>
      </c>
      <c r="J141" s="17" t="s">
        <v>21</v>
      </c>
      <c r="K141" s="17" t="s">
        <v>22</v>
      </c>
      <c r="L141" s="18" t="s">
        <v>23</v>
      </c>
    </row>
    <row r="142" spans="1:12" x14ac:dyDescent="0.2">
      <c r="A142" s="62"/>
      <c r="B142" s="6" t="s">
        <v>32</v>
      </c>
      <c r="C142" s="7" t="e">
        <f>AVERAGE('Flujos Automatizados Movil'!#REF!)</f>
        <v>#REF!</v>
      </c>
      <c r="D142" s="7" t="e">
        <f>AVERAGE('Flujos Automatizados Movil'!#REF!)</f>
        <v>#REF!</v>
      </c>
      <c r="E142" s="7" t="e">
        <f>AVERAGE(C142:D142)</f>
        <v>#REF!</v>
      </c>
      <c r="F142" s="7" t="e">
        <f>AVERAGE('Flujos Automatizados Movil'!#REF!)</f>
        <v>#REF!</v>
      </c>
      <c r="G142" s="7" t="e">
        <f>AVERAGE(E142:F142)</f>
        <v>#REF!</v>
      </c>
      <c r="J142" s="19" t="e">
        <f>AVERAGE('Flujos Automatizados Movil'!#REF!,'Flujos Automatizados Movil'!#REF!,'Flujos Automatizados Movil'!#REF!)</f>
        <v>#REF!</v>
      </c>
      <c r="K142" s="19" t="e">
        <f>AVERAGE('Flujos Automatizados Movil'!#REF!,'Flujos Automatizados Movil'!#REF!,'Flujos Automatizados Movil'!#REF!,'Flujos Automatizados Movil'!#REF!)</f>
        <v>#REF!</v>
      </c>
      <c r="L142" s="19" t="e">
        <f>AVERAGE('Flujos Automatizados Movil'!#REF!,'Flujos Automatizados Movil'!#REF!,'Flujos Automatizados Movil'!#REF!,'Flujos Automatizados Movil'!#REF!)</f>
        <v>#REF!</v>
      </c>
    </row>
    <row r="143" spans="1:12" x14ac:dyDescent="0.2">
      <c r="A143" s="62"/>
      <c r="B143" s="6" t="s">
        <v>33</v>
      </c>
      <c r="C143" s="7" t="e">
        <f>AVERAGE('Flujos Automatizados Movil'!#REF!)</f>
        <v>#REF!</v>
      </c>
      <c r="D143" s="7" t="e">
        <f>AVERAGE('Flujos Automatizados Movil'!#REF!)</f>
        <v>#REF!</v>
      </c>
      <c r="E143" s="7" t="e">
        <f>AVERAGE(C143:D143)</f>
        <v>#REF!</v>
      </c>
      <c r="F143" s="7">
        <v>0</v>
      </c>
      <c r="G143" s="7" t="e">
        <f>AVERAGE(E143:F143)</f>
        <v>#REF!</v>
      </c>
    </row>
    <row r="144" spans="1:12" x14ac:dyDescent="0.2">
      <c r="A144" s="62"/>
      <c r="B144" s="6" t="s">
        <v>34</v>
      </c>
      <c r="C144" s="7" t="e">
        <f>AVERAGE('Flujos Automatizados Movil'!#REF!)</f>
        <v>#REF!</v>
      </c>
      <c r="D144" s="7" t="e">
        <f>AVERAGE('Flujos Automatizados Movil'!#REF!)</f>
        <v>#REF!</v>
      </c>
      <c r="E144" s="7" t="e">
        <f>AVERAGE(C144:D144)</f>
        <v>#REF!</v>
      </c>
      <c r="F144" s="7">
        <v>0</v>
      </c>
      <c r="G144" s="7" t="e">
        <f>AVERAGE(E144:F144)</f>
        <v>#REF!</v>
      </c>
      <c r="J144" s="61" t="s">
        <v>52</v>
      </c>
      <c r="K144" s="61"/>
      <c r="L144" s="61"/>
    </row>
    <row r="145" spans="1:12" x14ac:dyDescent="0.2">
      <c r="A145" s="62"/>
      <c r="B145" s="8" t="s">
        <v>36</v>
      </c>
      <c r="C145" s="7" t="e">
        <f>AVERAGE(C141:C144)</f>
        <v>#REF!</v>
      </c>
      <c r="D145" s="7" t="e">
        <f>AVERAGE(D141:D144)</f>
        <v>#REF!</v>
      </c>
      <c r="E145" s="7" t="e">
        <f>AVERAGE(E141:E144)</f>
        <v>#REF!</v>
      </c>
      <c r="F145" s="7" t="e">
        <f t="shared" ref="F145" si="4">AVERAGE(F141:F144)</f>
        <v>#REF!</v>
      </c>
      <c r="G145" s="7" t="e">
        <f>AVERAGE(G141:G144)</f>
        <v>#REF!</v>
      </c>
      <c r="J145" s="17" t="s">
        <v>21</v>
      </c>
      <c r="K145" s="17" t="s">
        <v>22</v>
      </c>
      <c r="L145" s="18" t="s">
        <v>23</v>
      </c>
    </row>
    <row r="146" spans="1:12" x14ac:dyDescent="0.2">
      <c r="J146" s="19" t="e">
        <f>AVERAGE('Flujos Automatizados Movil'!#REF!,'Flujos Automatizados Movil'!#REF!,'Flujos Automatizados Movil'!#REF!)</f>
        <v>#REF!</v>
      </c>
      <c r="K146" s="19" t="e">
        <f>AVERAGE('Flujos Automatizados Movil'!#REF!,'Flujos Automatizados Movil'!#REF!,'Flujos Automatizados Movil'!#REF!,'Flujos Automatizados Movil'!#REF!)</f>
        <v>#REF!</v>
      </c>
      <c r="L146" s="19" t="e">
        <f>AVERAGE('Flujos Automatizados Movil'!#REF!,'Flujos Automatizados Movil'!#REF!,'Flujos Automatizados Movil'!#REF!,'Flujos Automatizados Movil'!#REF!)</f>
        <v>#REF!</v>
      </c>
    </row>
    <row r="152" spans="1:12" x14ac:dyDescent="0.2">
      <c r="J152" s="61" t="s">
        <v>53</v>
      </c>
      <c r="K152" s="61"/>
      <c r="L152" s="61"/>
    </row>
    <row r="153" spans="1:12" x14ac:dyDescent="0.2">
      <c r="J153" s="17" t="s">
        <v>21</v>
      </c>
      <c r="K153" s="17" t="s">
        <v>22</v>
      </c>
      <c r="L153" s="18" t="s">
        <v>23</v>
      </c>
    </row>
    <row r="154" spans="1:12" x14ac:dyDescent="0.2">
      <c r="J154" s="19" t="e">
        <f>AVERAGE('Flujos Automatizados Movil'!#REF!,'Flujos Automatizados Movil'!#REF!,'Flujos Automatizados Movil'!#REF!,'Flujos Automatizados Movil'!#REF!)</f>
        <v>#REF!</v>
      </c>
      <c r="K154" s="19" t="e">
        <f>AVERAGE('Flujos Automatizados Movil'!#REF!,'Flujos Automatizados Movil'!#REF!,'Flujos Automatizados Movil'!#REF!,'Flujos Automatizados Movil'!#REF!)</f>
        <v>#REF!</v>
      </c>
      <c r="L154" s="19" t="e">
        <f>AVERAGE('Flujos Automatizados Movil'!#REF!)</f>
        <v>#REF!</v>
      </c>
    </row>
    <row r="156" spans="1:12" x14ac:dyDescent="0.2">
      <c r="J156" s="61" t="s">
        <v>54</v>
      </c>
      <c r="K156" s="61"/>
      <c r="L156" s="61"/>
    </row>
    <row r="157" spans="1:12" x14ac:dyDescent="0.2">
      <c r="J157" s="17" t="s">
        <v>21</v>
      </c>
      <c r="K157" s="17" t="s">
        <v>22</v>
      </c>
      <c r="L157" s="18" t="s">
        <v>23</v>
      </c>
    </row>
    <row r="158" spans="1:12" x14ac:dyDescent="0.2">
      <c r="A158" s="63"/>
      <c r="C158" s="20"/>
      <c r="J158" s="19" t="e">
        <f>AVERAGE('Flujos Automatizados Movil'!#REF!,'Flujos Automatizados Movil'!#REF!,'Flujos Automatizados Movil'!#REF!,'Flujos Automatizados Movil'!#REF!)</f>
        <v>#REF!</v>
      </c>
      <c r="K158" s="19" t="e">
        <f>AVERAGE('Flujos Automatizados Movil'!#REF!,'Flujos Automatizados Movil'!#REF!,'Flujos Automatizados Movil'!#REF!,'Flujos Automatizados Movil'!#REF!)</f>
        <v>#REF!</v>
      </c>
      <c r="L158" s="19" t="e">
        <f>AVERAGE('Flujos Automatizados Movil'!#REF!)</f>
        <v>#REF!</v>
      </c>
    </row>
    <row r="159" spans="1:12" x14ac:dyDescent="0.2">
      <c r="A159" s="63"/>
      <c r="C159" s="3"/>
      <c r="D159" s="3"/>
    </row>
    <row r="161" spans="10:12" x14ac:dyDescent="0.2">
      <c r="J161" s="61" t="s">
        <v>55</v>
      </c>
      <c r="K161" s="61"/>
      <c r="L161" s="61"/>
    </row>
    <row r="162" spans="10:12" x14ac:dyDescent="0.2">
      <c r="J162" s="17" t="s">
        <v>21</v>
      </c>
      <c r="K162" s="17" t="s">
        <v>22</v>
      </c>
      <c r="L162" s="18" t="s">
        <v>23</v>
      </c>
    </row>
    <row r="163" spans="10:12" x14ac:dyDescent="0.2">
      <c r="J163" s="19" t="e">
        <f>AVERAGE('Flujos Automatizados Movil'!#REF!,'Flujos Automatizados Movil'!#REF!,'Flujos Automatizados Movil'!#REF!,'Flujos Automatizados Movil'!#REF!)</f>
        <v>#REF!</v>
      </c>
      <c r="K163" s="19" t="e">
        <f>AVERAGE('Flujos Automatizados Movil'!#REF!,'Flujos Automatizados Movil'!#REF!,'Flujos Automatizados Movil'!#REF!,'Flujos Automatizados Movil'!#REF!)</f>
        <v>#REF!</v>
      </c>
      <c r="L163" s="19" t="e">
        <f>AVERAGE('Flujos Automatizados Movil'!#REF!)</f>
        <v>#REF!</v>
      </c>
    </row>
    <row r="165" spans="10:12" x14ac:dyDescent="0.2">
      <c r="J165" s="61" t="s">
        <v>56</v>
      </c>
      <c r="K165" s="61"/>
      <c r="L165" s="61"/>
    </row>
    <row r="166" spans="10:12" x14ac:dyDescent="0.2">
      <c r="J166" s="17" t="s">
        <v>21</v>
      </c>
      <c r="K166" s="17" t="s">
        <v>22</v>
      </c>
      <c r="L166" s="18" t="s">
        <v>23</v>
      </c>
    </row>
    <row r="167" spans="10:12" x14ac:dyDescent="0.2">
      <c r="J167" s="19" t="e">
        <f>AVERAGE('Flujos Automatizados Movil'!#REF!,'Flujos Automatizados Movil'!#REF!,'Flujos Automatizados Movil'!#REF!,'Flujos Automatizados Movil'!#REF!)</f>
        <v>#REF!</v>
      </c>
      <c r="K167" s="19" t="e">
        <f>AVERAGE('Flujos Automatizados Movil'!#REF!,'Flujos Automatizados Movil'!#REF!,'Flujos Automatizados Movil'!#REF!,'Flujos Automatizados Movil'!#REF!)</f>
        <v>#REF!</v>
      </c>
      <c r="L167" s="19" t="e">
        <f>AVERAGE('Flujos Automatizados Movil'!#REF!)</f>
        <v>#REF!</v>
      </c>
    </row>
    <row r="170" spans="10:12" x14ac:dyDescent="0.2">
      <c r="J170" s="61" t="s">
        <v>57</v>
      </c>
      <c r="K170" s="61"/>
      <c r="L170" s="61"/>
    </row>
    <row r="171" spans="10:12" x14ac:dyDescent="0.2">
      <c r="J171" s="17" t="s">
        <v>21</v>
      </c>
      <c r="K171" s="17" t="s">
        <v>22</v>
      </c>
      <c r="L171" s="18" t="s">
        <v>23</v>
      </c>
    </row>
    <row r="172" spans="10:12" x14ac:dyDescent="0.2">
      <c r="J172" s="19" t="e">
        <f>AVERAGE('Flujos Automatizados Movil'!#REF!,'Flujos Automatizados Movil'!#REF!,'Flujos Automatizados Movil'!#REF!)</f>
        <v>#REF!</v>
      </c>
      <c r="K172" s="19" t="e">
        <f>AVERAGE('Flujos Automatizados Movil'!#REF!,'Flujos Automatizados Movil'!#REF!,'Flujos Automatizados Movil'!#REF!,'Flujos Automatizados Movil'!#REF!)</f>
        <v>#REF!</v>
      </c>
      <c r="L172" s="19" t="e">
        <f>AVERAGE('Flujos Automatizados Movil'!#REF!)</f>
        <v>#REF!</v>
      </c>
    </row>
    <row r="174" spans="10:12" x14ac:dyDescent="0.2">
      <c r="J174" s="61" t="s">
        <v>58</v>
      </c>
      <c r="K174" s="61"/>
      <c r="L174" s="61"/>
    </row>
    <row r="175" spans="10:12" x14ac:dyDescent="0.2">
      <c r="J175" s="17" t="s">
        <v>21</v>
      </c>
      <c r="K175" s="17" t="s">
        <v>22</v>
      </c>
      <c r="L175" s="18" t="s">
        <v>23</v>
      </c>
    </row>
    <row r="176" spans="10:12" x14ac:dyDescent="0.2">
      <c r="J176" s="19" t="e">
        <f>AVERAGE('Flujos Automatizados Movil'!#REF!,'Flujos Automatizados Movil'!#REF!,'Flujos Automatizados Movil'!#REF!)</f>
        <v>#REF!</v>
      </c>
      <c r="K176" s="19" t="e">
        <f>AVERAGE('Flujos Automatizados Movil'!#REF!,'Flujos Automatizados Movil'!#REF!,'Flujos Automatizados Movil'!#REF!,'Flujos Automatizados Movil'!#REF!)</f>
        <v>#REF!</v>
      </c>
      <c r="L176" s="19" t="e">
        <f>AVERAGE('Flujos Automatizados Movil'!#REF!)</f>
        <v>#REF!</v>
      </c>
    </row>
    <row r="179" spans="10:12" x14ac:dyDescent="0.2">
      <c r="J179" s="61" t="s">
        <v>59</v>
      </c>
      <c r="K179" s="61"/>
      <c r="L179" s="61"/>
    </row>
    <row r="180" spans="10:12" x14ac:dyDescent="0.2">
      <c r="J180" s="17" t="s">
        <v>21</v>
      </c>
      <c r="K180" s="17" t="s">
        <v>22</v>
      </c>
      <c r="L180" s="18" t="s">
        <v>23</v>
      </c>
    </row>
    <row r="181" spans="10:12" x14ac:dyDescent="0.2">
      <c r="J181" s="19" t="e">
        <f>AVERAGE('Flujos Automatizados Movil'!#REF!,'Flujos Automatizados Movil'!#REF!,'Flujos Automatizados Movil'!#REF!,'Flujos Automatizados Movil'!#REF!,'Flujos Automatizados Movil'!#REF!)</f>
        <v>#REF!</v>
      </c>
      <c r="K181" s="19" t="e">
        <f>AVERAGE('Flujos Automatizados Movil'!#REF!,'Flujos Automatizados Movil'!#REF!,'Flujos Automatizados Movil'!#REF!,'Flujos Automatizados Movil'!#REF!,'Flujos Automatizados Movil'!#REF!)</f>
        <v>#REF!</v>
      </c>
      <c r="L181" s="19" t="e">
        <f>AVERAGE('Flujos Automatizados Movil'!#REF!,'Flujos Automatizados Movil'!#REF!)</f>
        <v>#REF!</v>
      </c>
    </row>
    <row r="183" spans="10:12" x14ac:dyDescent="0.2">
      <c r="J183" s="61" t="s">
        <v>60</v>
      </c>
      <c r="K183" s="61"/>
      <c r="L183" s="61"/>
    </row>
    <row r="184" spans="10:12" x14ac:dyDescent="0.2">
      <c r="J184" s="17" t="s">
        <v>21</v>
      </c>
      <c r="K184" s="17" t="s">
        <v>22</v>
      </c>
      <c r="L184" s="18" t="s">
        <v>23</v>
      </c>
    </row>
    <row r="185" spans="10:12" x14ac:dyDescent="0.2">
      <c r="J185" s="19" t="e">
        <f>AVERAGE('Flujos Automatizados Movil'!#REF!,'Flujos Automatizados Movil'!#REF!,'Flujos Automatizados Movil'!#REF!,'Flujos Automatizados Movil'!#REF!,'Flujos Automatizados Movil'!#REF!)</f>
        <v>#REF!</v>
      </c>
      <c r="K185" s="19" t="e">
        <f>AVERAGE('Flujos Automatizados Movil'!#REF!,'Flujos Automatizados Movil'!#REF!,'Flujos Automatizados Movil'!#REF!,'Flujos Automatizados Movil'!#REF!,'Flujos Automatizados Movil'!#REF!)</f>
        <v>#REF!</v>
      </c>
      <c r="L185" s="19" t="e">
        <f>AVERAGE('Flujos Automatizados Movil'!#REF!,'Flujos Automatizados Movil'!#REF!)</f>
        <v>#REF!</v>
      </c>
    </row>
  </sheetData>
  <mergeCells count="22">
    <mergeCell ref="A158:A159"/>
    <mergeCell ref="A94:A98"/>
    <mergeCell ref="J93:L93"/>
    <mergeCell ref="J97:L97"/>
    <mergeCell ref="J140:L140"/>
    <mergeCell ref="A141:A145"/>
    <mergeCell ref="J144:L144"/>
    <mergeCell ref="R1:V1"/>
    <mergeCell ref="J152:L152"/>
    <mergeCell ref="J156:L156"/>
    <mergeCell ref="A2:A6"/>
    <mergeCell ref="J1:L1"/>
    <mergeCell ref="J5:L5"/>
    <mergeCell ref="A48:A52"/>
    <mergeCell ref="J47:L47"/>
    <mergeCell ref="J51:L51"/>
    <mergeCell ref="J179:L179"/>
    <mergeCell ref="J183:L183"/>
    <mergeCell ref="J170:L170"/>
    <mergeCell ref="J174:L174"/>
    <mergeCell ref="J161:L161"/>
    <mergeCell ref="J165:L165"/>
  </mergeCells>
  <conditionalFormatting sqref="E2:E5">
    <cfRule type="dataBar" priority="130">
      <dataBar>
        <cfvo type="min"/>
        <cfvo type="num" val="1"/>
        <color theme="4" tint="0.59999389629810485"/>
      </dataBar>
      <extLst>
        <ext xmlns:x14="http://schemas.microsoft.com/office/spreadsheetml/2009/9/main" uri="{B025F937-C7B1-47D3-B67F-A62EFF666E3E}">
          <x14:id>{07FA8224-27BF-4521-AB79-3A64DBC21118}</x14:id>
        </ext>
      </extLst>
    </cfRule>
  </conditionalFormatting>
  <conditionalFormatting sqref="F2:F5">
    <cfRule type="dataBar" priority="127">
      <dataBar>
        <cfvo type="min"/>
        <cfvo type="num" val="1"/>
        <color theme="9" tint="0.59999389629810485"/>
      </dataBar>
      <extLst>
        <ext xmlns:x14="http://schemas.microsoft.com/office/spreadsheetml/2009/9/main" uri="{B025F937-C7B1-47D3-B67F-A62EFF666E3E}">
          <x14:id>{22624BEB-B66D-45AF-B27F-5584B6F6C04E}</x14:id>
        </ext>
      </extLst>
    </cfRule>
  </conditionalFormatting>
  <conditionalFormatting sqref="G2:G5">
    <cfRule type="dataBar" priority="126">
      <dataBar>
        <cfvo type="min"/>
        <cfvo type="num" val="1"/>
        <color theme="6" tint="0.59999389629810485"/>
      </dataBar>
      <extLst>
        <ext xmlns:x14="http://schemas.microsoft.com/office/spreadsheetml/2009/9/main" uri="{B025F937-C7B1-47D3-B67F-A62EFF666E3E}">
          <x14:id>{C59B078A-1EA4-49E3-986C-EE50CEA8ADB8}</x14:id>
        </ext>
      </extLst>
    </cfRule>
  </conditionalFormatting>
  <conditionalFormatting sqref="C2:D2">
    <cfRule type="dataBar" priority="125">
      <dataBar>
        <cfvo type="min"/>
        <cfvo type="num" val="1"/>
        <color theme="4" tint="0.59999389629810485"/>
      </dataBar>
      <extLst>
        <ext xmlns:x14="http://schemas.microsoft.com/office/spreadsheetml/2009/9/main" uri="{B025F937-C7B1-47D3-B67F-A62EFF666E3E}">
          <x14:id>{702AD501-89C2-4F27-A660-8D6124709F60}</x14:id>
        </ext>
      </extLst>
    </cfRule>
  </conditionalFormatting>
  <conditionalFormatting sqref="C3:C5">
    <cfRule type="dataBar" priority="124">
      <dataBar>
        <cfvo type="min"/>
        <cfvo type="num" val="1"/>
        <color theme="4" tint="0.59999389629810485"/>
      </dataBar>
      <extLst>
        <ext xmlns:x14="http://schemas.microsoft.com/office/spreadsheetml/2009/9/main" uri="{B025F937-C7B1-47D3-B67F-A62EFF666E3E}">
          <x14:id>{9523F34D-E616-4F1C-8A1A-0CABEEF8249D}</x14:id>
        </ext>
      </extLst>
    </cfRule>
  </conditionalFormatting>
  <conditionalFormatting sqref="D3:D5">
    <cfRule type="dataBar" priority="123">
      <dataBar>
        <cfvo type="min"/>
        <cfvo type="num" val="1"/>
        <color theme="4" tint="0.59999389629810485"/>
      </dataBar>
      <extLst>
        <ext xmlns:x14="http://schemas.microsoft.com/office/spreadsheetml/2009/9/main" uri="{B025F937-C7B1-47D3-B67F-A62EFF666E3E}">
          <x14:id>{5650F044-C67B-43A7-B3F0-2085A9EACBE2}</x14:id>
        </ext>
      </extLst>
    </cfRule>
  </conditionalFormatting>
  <conditionalFormatting sqref="C6:D6">
    <cfRule type="dataBar" priority="122">
      <dataBar>
        <cfvo type="min"/>
        <cfvo type="num" val="1"/>
        <color theme="3" tint="0.59999389629810485"/>
      </dataBar>
      <extLst>
        <ext xmlns:x14="http://schemas.microsoft.com/office/spreadsheetml/2009/9/main" uri="{B025F937-C7B1-47D3-B67F-A62EFF666E3E}">
          <x14:id>{8D5871EE-8638-4DBD-945C-43E7C9A02CCC}</x14:id>
        </ext>
      </extLst>
    </cfRule>
  </conditionalFormatting>
  <conditionalFormatting sqref="E6:G6">
    <cfRule type="dataBar" priority="145">
      <dataBar>
        <cfvo type="min"/>
        <cfvo type="num" val="1"/>
        <color theme="3" tint="0.59999389629810485"/>
      </dataBar>
      <extLst>
        <ext xmlns:x14="http://schemas.microsoft.com/office/spreadsheetml/2009/9/main" uri="{B025F937-C7B1-47D3-B67F-A62EFF666E3E}">
          <x14:id>{F008B1BD-9F1C-4B50-8DB1-1C0E37FAD2BC}</x14:id>
        </ext>
      </extLst>
    </cfRule>
  </conditionalFormatting>
  <conditionalFormatting sqref="J3">
    <cfRule type="dataBar" priority="120">
      <dataBar>
        <cfvo type="min"/>
        <cfvo type="num" val="1"/>
        <color theme="6" tint="0.59999389629810485"/>
      </dataBar>
      <extLst>
        <ext xmlns:x14="http://schemas.microsoft.com/office/spreadsheetml/2009/9/main" uri="{B025F937-C7B1-47D3-B67F-A62EFF666E3E}">
          <x14:id>{642142FD-4513-452C-9A31-885D20C1BF91}</x14:id>
        </ext>
      </extLst>
    </cfRule>
  </conditionalFormatting>
  <conditionalFormatting sqref="K3">
    <cfRule type="dataBar" priority="119">
      <dataBar>
        <cfvo type="min"/>
        <cfvo type="num" val="1"/>
        <color theme="5" tint="0.59999389629810485"/>
      </dataBar>
      <extLst>
        <ext xmlns:x14="http://schemas.microsoft.com/office/spreadsheetml/2009/9/main" uri="{B025F937-C7B1-47D3-B67F-A62EFF666E3E}">
          <x14:id>{55D235EC-C7A6-4F81-89CC-FEBDC5657876}</x14:id>
        </ext>
      </extLst>
    </cfRule>
  </conditionalFormatting>
  <conditionalFormatting sqref="L3">
    <cfRule type="dataBar" priority="118">
      <dataBar>
        <cfvo type="min"/>
        <cfvo type="num" val="1"/>
        <color theme="4" tint="0.59999389629810485"/>
      </dataBar>
      <extLst>
        <ext xmlns:x14="http://schemas.microsoft.com/office/spreadsheetml/2009/9/main" uri="{B025F937-C7B1-47D3-B67F-A62EFF666E3E}">
          <x14:id>{8E0542F5-4CF0-4AB1-B8EC-D844C5D90FD0}</x14:id>
        </ext>
      </extLst>
    </cfRule>
  </conditionalFormatting>
  <conditionalFormatting sqref="J7">
    <cfRule type="dataBar" priority="117">
      <dataBar>
        <cfvo type="min"/>
        <cfvo type="num" val="1"/>
        <color theme="6" tint="0.59999389629810485"/>
      </dataBar>
      <extLst>
        <ext xmlns:x14="http://schemas.microsoft.com/office/spreadsheetml/2009/9/main" uri="{B025F937-C7B1-47D3-B67F-A62EFF666E3E}">
          <x14:id>{2DFF5971-99D9-41F9-BEF3-CD514EF1D2EA}</x14:id>
        </ext>
      </extLst>
    </cfRule>
  </conditionalFormatting>
  <conditionalFormatting sqref="K7">
    <cfRule type="dataBar" priority="116">
      <dataBar>
        <cfvo type="min"/>
        <cfvo type="num" val="1"/>
        <color theme="5" tint="0.59999389629810485"/>
      </dataBar>
      <extLst>
        <ext xmlns:x14="http://schemas.microsoft.com/office/spreadsheetml/2009/9/main" uri="{B025F937-C7B1-47D3-B67F-A62EFF666E3E}">
          <x14:id>{DF5A9530-66EE-4782-A943-24C74188924E}</x14:id>
        </ext>
      </extLst>
    </cfRule>
  </conditionalFormatting>
  <conditionalFormatting sqref="L7">
    <cfRule type="dataBar" priority="115">
      <dataBar>
        <cfvo type="min"/>
        <cfvo type="num" val="1"/>
        <color theme="4" tint="0.59999389629810485"/>
      </dataBar>
      <extLst>
        <ext xmlns:x14="http://schemas.microsoft.com/office/spreadsheetml/2009/9/main" uri="{B025F937-C7B1-47D3-B67F-A62EFF666E3E}">
          <x14:id>{607F2CDE-1C4E-43BE-BEC7-E18CCDD12EA5}</x14:id>
        </ext>
      </extLst>
    </cfRule>
  </conditionalFormatting>
  <conditionalFormatting sqref="E48:E51">
    <cfRule type="dataBar" priority="113">
      <dataBar>
        <cfvo type="min"/>
        <cfvo type="num" val="1"/>
        <color theme="4" tint="0.59999389629810485"/>
      </dataBar>
      <extLst>
        <ext xmlns:x14="http://schemas.microsoft.com/office/spreadsheetml/2009/9/main" uri="{B025F937-C7B1-47D3-B67F-A62EFF666E3E}">
          <x14:id>{6B14FC4B-61CC-4E96-939B-DE082303BF52}</x14:id>
        </ext>
      </extLst>
    </cfRule>
  </conditionalFormatting>
  <conditionalFormatting sqref="F48:F51">
    <cfRule type="dataBar" priority="111">
      <dataBar>
        <cfvo type="min"/>
        <cfvo type="num" val="1"/>
        <color theme="9" tint="0.59999389629810485"/>
      </dataBar>
      <extLst>
        <ext xmlns:x14="http://schemas.microsoft.com/office/spreadsheetml/2009/9/main" uri="{B025F937-C7B1-47D3-B67F-A62EFF666E3E}">
          <x14:id>{CEDB4DDC-5A97-4E1E-84E3-6EF214269A9D}</x14:id>
        </ext>
      </extLst>
    </cfRule>
  </conditionalFormatting>
  <conditionalFormatting sqref="G48:G51">
    <cfRule type="dataBar" priority="110">
      <dataBar>
        <cfvo type="min"/>
        <cfvo type="num" val="1"/>
        <color theme="6" tint="0.59999389629810485"/>
      </dataBar>
      <extLst>
        <ext xmlns:x14="http://schemas.microsoft.com/office/spreadsheetml/2009/9/main" uri="{B025F937-C7B1-47D3-B67F-A62EFF666E3E}">
          <x14:id>{251D4CAF-3409-4293-85F5-9B14C34BE004}</x14:id>
        </ext>
      </extLst>
    </cfRule>
  </conditionalFormatting>
  <conditionalFormatting sqref="C48:D49">
    <cfRule type="dataBar" priority="109">
      <dataBar>
        <cfvo type="min"/>
        <cfvo type="num" val="1"/>
        <color theme="4" tint="0.59999389629810485"/>
      </dataBar>
      <extLst>
        <ext xmlns:x14="http://schemas.microsoft.com/office/spreadsheetml/2009/9/main" uri="{B025F937-C7B1-47D3-B67F-A62EFF666E3E}">
          <x14:id>{B609598D-104D-4111-A400-84BAE1B1B42B}</x14:id>
        </ext>
      </extLst>
    </cfRule>
  </conditionalFormatting>
  <conditionalFormatting sqref="C50:C51">
    <cfRule type="dataBar" priority="108">
      <dataBar>
        <cfvo type="min"/>
        <cfvo type="num" val="1"/>
        <color theme="4" tint="0.59999389629810485"/>
      </dataBar>
      <extLst>
        <ext xmlns:x14="http://schemas.microsoft.com/office/spreadsheetml/2009/9/main" uri="{B025F937-C7B1-47D3-B67F-A62EFF666E3E}">
          <x14:id>{3EA7A740-B593-45AA-8784-F0EFDF1FAF54}</x14:id>
        </ext>
      </extLst>
    </cfRule>
  </conditionalFormatting>
  <conditionalFormatting sqref="C52:D52">
    <cfRule type="dataBar" priority="106">
      <dataBar>
        <cfvo type="min"/>
        <cfvo type="num" val="1"/>
        <color theme="3" tint="0.59999389629810485"/>
      </dataBar>
      <extLst>
        <ext xmlns:x14="http://schemas.microsoft.com/office/spreadsheetml/2009/9/main" uri="{B025F937-C7B1-47D3-B67F-A62EFF666E3E}">
          <x14:id>{BD4C1230-92B4-4758-A042-4B4F44801021}</x14:id>
        </ext>
      </extLst>
    </cfRule>
  </conditionalFormatting>
  <conditionalFormatting sqref="E52:G52">
    <cfRule type="dataBar" priority="114">
      <dataBar>
        <cfvo type="min"/>
        <cfvo type="num" val="1"/>
        <color theme="3" tint="0.59999389629810485"/>
      </dataBar>
      <extLst>
        <ext xmlns:x14="http://schemas.microsoft.com/office/spreadsheetml/2009/9/main" uri="{B025F937-C7B1-47D3-B67F-A62EFF666E3E}">
          <x14:id>{8064DBFF-643C-4942-9AB8-AB5AC675C128}</x14:id>
        </ext>
      </extLst>
    </cfRule>
  </conditionalFormatting>
  <conditionalFormatting sqref="D50:D51">
    <cfRule type="dataBar" priority="105">
      <dataBar>
        <cfvo type="min"/>
        <cfvo type="num" val="1"/>
        <color theme="4" tint="0.59999389629810485"/>
      </dataBar>
      <extLst>
        <ext xmlns:x14="http://schemas.microsoft.com/office/spreadsheetml/2009/9/main" uri="{B025F937-C7B1-47D3-B67F-A62EFF666E3E}">
          <x14:id>{26BE35D2-FA4D-4B60-A8BC-805A5E437148}</x14:id>
        </ext>
      </extLst>
    </cfRule>
  </conditionalFormatting>
  <conditionalFormatting sqref="J49">
    <cfRule type="dataBar" priority="104">
      <dataBar>
        <cfvo type="min"/>
        <cfvo type="num" val="1"/>
        <color theme="6" tint="0.59999389629810485"/>
      </dataBar>
      <extLst>
        <ext xmlns:x14="http://schemas.microsoft.com/office/spreadsheetml/2009/9/main" uri="{B025F937-C7B1-47D3-B67F-A62EFF666E3E}">
          <x14:id>{BC896D3A-0258-4B55-8E27-1EACD7BCED9B}</x14:id>
        </ext>
      </extLst>
    </cfRule>
  </conditionalFormatting>
  <conditionalFormatting sqref="K49">
    <cfRule type="dataBar" priority="103">
      <dataBar>
        <cfvo type="min"/>
        <cfvo type="num" val="1"/>
        <color theme="5" tint="0.59999389629810485"/>
      </dataBar>
      <extLst>
        <ext xmlns:x14="http://schemas.microsoft.com/office/spreadsheetml/2009/9/main" uri="{B025F937-C7B1-47D3-B67F-A62EFF666E3E}">
          <x14:id>{424CF314-941A-4000-A68E-0E7B99590C42}</x14:id>
        </ext>
      </extLst>
    </cfRule>
  </conditionalFormatting>
  <conditionalFormatting sqref="L49">
    <cfRule type="dataBar" priority="102">
      <dataBar>
        <cfvo type="min"/>
        <cfvo type="num" val="1"/>
        <color theme="4" tint="0.59999389629810485"/>
      </dataBar>
      <extLst>
        <ext xmlns:x14="http://schemas.microsoft.com/office/spreadsheetml/2009/9/main" uri="{B025F937-C7B1-47D3-B67F-A62EFF666E3E}">
          <x14:id>{E2D392B9-6443-4773-AD86-F0E4956492AA}</x14:id>
        </ext>
      </extLst>
    </cfRule>
  </conditionalFormatting>
  <conditionalFormatting sqref="J53">
    <cfRule type="dataBar" priority="95">
      <dataBar>
        <cfvo type="min"/>
        <cfvo type="num" val="1"/>
        <color theme="6" tint="0.59999389629810485"/>
      </dataBar>
      <extLst>
        <ext xmlns:x14="http://schemas.microsoft.com/office/spreadsheetml/2009/9/main" uri="{B025F937-C7B1-47D3-B67F-A62EFF666E3E}">
          <x14:id>{3AF35E8B-A9D2-4066-80E4-CA8F9D4C4A45}</x14:id>
        </ext>
      </extLst>
    </cfRule>
  </conditionalFormatting>
  <conditionalFormatting sqref="K53">
    <cfRule type="dataBar" priority="94">
      <dataBar>
        <cfvo type="min"/>
        <cfvo type="num" val="1"/>
        <color theme="5" tint="0.59999389629810485"/>
      </dataBar>
      <extLst>
        <ext xmlns:x14="http://schemas.microsoft.com/office/spreadsheetml/2009/9/main" uri="{B025F937-C7B1-47D3-B67F-A62EFF666E3E}">
          <x14:id>{CBC8111A-D651-41AC-8056-8ED9DBF05655}</x14:id>
        </ext>
      </extLst>
    </cfRule>
  </conditionalFormatting>
  <conditionalFormatting sqref="L53">
    <cfRule type="dataBar" priority="93">
      <dataBar>
        <cfvo type="min"/>
        <cfvo type="num" val="1"/>
        <color theme="4" tint="0.59999389629810485"/>
      </dataBar>
      <extLst>
        <ext xmlns:x14="http://schemas.microsoft.com/office/spreadsheetml/2009/9/main" uri="{B025F937-C7B1-47D3-B67F-A62EFF666E3E}">
          <x14:id>{4DEDC732-63E3-465B-83C9-B6B142076F33}</x14:id>
        </ext>
      </extLst>
    </cfRule>
  </conditionalFormatting>
  <conditionalFormatting sqref="E94:E97">
    <cfRule type="dataBar" priority="91">
      <dataBar>
        <cfvo type="min"/>
        <cfvo type="num" val="1"/>
        <color theme="4" tint="0.59999389629810485"/>
      </dataBar>
      <extLst>
        <ext xmlns:x14="http://schemas.microsoft.com/office/spreadsheetml/2009/9/main" uri="{B025F937-C7B1-47D3-B67F-A62EFF666E3E}">
          <x14:id>{5C8F8B70-7295-4136-A818-B49FCF78BE85}</x14:id>
        </ext>
      </extLst>
    </cfRule>
  </conditionalFormatting>
  <conditionalFormatting sqref="F96:F97">
    <cfRule type="dataBar" priority="90">
      <dataBar>
        <cfvo type="min"/>
        <cfvo type="num" val="1"/>
        <color theme="9" tint="0.59999389629810485"/>
      </dataBar>
      <extLst>
        <ext xmlns:x14="http://schemas.microsoft.com/office/spreadsheetml/2009/9/main" uri="{B025F937-C7B1-47D3-B67F-A62EFF666E3E}">
          <x14:id>{B85FCFFB-5BC6-48F2-BA39-C716C7A7D59A}</x14:id>
        </ext>
      </extLst>
    </cfRule>
  </conditionalFormatting>
  <conditionalFormatting sqref="G94:G97">
    <cfRule type="dataBar" priority="89">
      <dataBar>
        <cfvo type="min"/>
        <cfvo type="num" val="1"/>
        <color theme="6" tint="0.59999389629810485"/>
      </dataBar>
      <extLst>
        <ext xmlns:x14="http://schemas.microsoft.com/office/spreadsheetml/2009/9/main" uri="{B025F937-C7B1-47D3-B67F-A62EFF666E3E}">
          <x14:id>{A522A3E8-C064-4D0E-896D-2594A770C284}</x14:id>
        </ext>
      </extLst>
    </cfRule>
  </conditionalFormatting>
  <conditionalFormatting sqref="C94:D95">
    <cfRule type="dataBar" priority="88">
      <dataBar>
        <cfvo type="min"/>
        <cfvo type="num" val="1"/>
        <color theme="4" tint="0.59999389629810485"/>
      </dataBar>
      <extLst>
        <ext xmlns:x14="http://schemas.microsoft.com/office/spreadsheetml/2009/9/main" uri="{B025F937-C7B1-47D3-B67F-A62EFF666E3E}">
          <x14:id>{77C56F94-E8AC-4719-9462-60603D631314}</x14:id>
        </ext>
      </extLst>
    </cfRule>
  </conditionalFormatting>
  <conditionalFormatting sqref="D98">
    <cfRule type="dataBar" priority="86">
      <dataBar>
        <cfvo type="min"/>
        <cfvo type="num" val="1"/>
        <color theme="3" tint="0.59999389629810485"/>
      </dataBar>
      <extLst>
        <ext xmlns:x14="http://schemas.microsoft.com/office/spreadsheetml/2009/9/main" uri="{B025F937-C7B1-47D3-B67F-A62EFF666E3E}">
          <x14:id>{DE53E41C-72D7-4950-BD4C-883C78246E99}</x14:id>
        </ext>
      </extLst>
    </cfRule>
  </conditionalFormatting>
  <conditionalFormatting sqref="E98:G98">
    <cfRule type="dataBar" priority="92">
      <dataBar>
        <cfvo type="min"/>
        <cfvo type="num" val="1"/>
        <color theme="3" tint="0.59999389629810485"/>
      </dataBar>
      <extLst>
        <ext xmlns:x14="http://schemas.microsoft.com/office/spreadsheetml/2009/9/main" uri="{B025F937-C7B1-47D3-B67F-A62EFF666E3E}">
          <x14:id>{5C2C1600-5858-4FD0-9CAB-1389AAC57D42}</x14:id>
        </ext>
      </extLst>
    </cfRule>
  </conditionalFormatting>
  <conditionalFormatting sqref="C96">
    <cfRule type="dataBar" priority="84">
      <dataBar>
        <cfvo type="min"/>
        <cfvo type="num" val="1"/>
        <color theme="4" tint="0.59999389629810485"/>
      </dataBar>
      <extLst>
        <ext xmlns:x14="http://schemas.microsoft.com/office/spreadsheetml/2009/9/main" uri="{B025F937-C7B1-47D3-B67F-A62EFF666E3E}">
          <x14:id>{B21AC1D9-4835-46EC-A13B-D39766FE169A}</x14:id>
        </ext>
      </extLst>
    </cfRule>
  </conditionalFormatting>
  <conditionalFormatting sqref="C97">
    <cfRule type="dataBar" priority="83">
      <dataBar>
        <cfvo type="min"/>
        <cfvo type="num" val="1"/>
        <color theme="4" tint="0.59999389629810485"/>
      </dataBar>
      <extLst>
        <ext xmlns:x14="http://schemas.microsoft.com/office/spreadsheetml/2009/9/main" uri="{B025F937-C7B1-47D3-B67F-A62EFF666E3E}">
          <x14:id>{A09E35A3-24D6-46C0-B83A-2EB17E3FA480}</x14:id>
        </ext>
      </extLst>
    </cfRule>
  </conditionalFormatting>
  <conditionalFormatting sqref="D96">
    <cfRule type="dataBar" priority="81">
      <dataBar>
        <cfvo type="min"/>
        <cfvo type="num" val="1"/>
        <color theme="4" tint="0.59999389629810485"/>
      </dataBar>
      <extLst>
        <ext xmlns:x14="http://schemas.microsoft.com/office/spreadsheetml/2009/9/main" uri="{B025F937-C7B1-47D3-B67F-A62EFF666E3E}">
          <x14:id>{A627040C-5D10-4A0F-965D-C20BEC121581}</x14:id>
        </ext>
      </extLst>
    </cfRule>
  </conditionalFormatting>
  <conditionalFormatting sqref="D97">
    <cfRule type="dataBar" priority="80">
      <dataBar>
        <cfvo type="min"/>
        <cfvo type="num" val="1"/>
        <color theme="4" tint="0.59999389629810485"/>
      </dataBar>
      <extLst>
        <ext xmlns:x14="http://schemas.microsoft.com/office/spreadsheetml/2009/9/main" uri="{B025F937-C7B1-47D3-B67F-A62EFF666E3E}">
          <x14:id>{B52F04BB-9C11-451E-AAE5-68BFCAA0CDF8}</x14:id>
        </ext>
      </extLst>
    </cfRule>
  </conditionalFormatting>
  <conditionalFormatting sqref="F94">
    <cfRule type="dataBar" priority="79">
      <dataBar>
        <cfvo type="min"/>
        <cfvo type="num" val="1"/>
        <color theme="4" tint="0.59999389629810485"/>
      </dataBar>
      <extLst>
        <ext xmlns:x14="http://schemas.microsoft.com/office/spreadsheetml/2009/9/main" uri="{B025F937-C7B1-47D3-B67F-A62EFF666E3E}">
          <x14:id>{9C0F13A0-6114-430C-B16F-8D643A9ECE67}</x14:id>
        </ext>
      </extLst>
    </cfRule>
  </conditionalFormatting>
  <conditionalFormatting sqref="F95">
    <cfRule type="dataBar" priority="78">
      <dataBar>
        <cfvo type="min"/>
        <cfvo type="num" val="1"/>
        <color theme="4" tint="0.59999389629810485"/>
      </dataBar>
      <extLst>
        <ext xmlns:x14="http://schemas.microsoft.com/office/spreadsheetml/2009/9/main" uri="{B025F937-C7B1-47D3-B67F-A62EFF666E3E}">
          <x14:id>{1D7B375F-729B-4143-A451-1B138871F0D2}</x14:id>
        </ext>
      </extLst>
    </cfRule>
  </conditionalFormatting>
  <conditionalFormatting sqref="J95">
    <cfRule type="dataBar" priority="77">
      <dataBar>
        <cfvo type="min"/>
        <cfvo type="num" val="1"/>
        <color theme="6" tint="0.59999389629810485"/>
      </dataBar>
      <extLst>
        <ext xmlns:x14="http://schemas.microsoft.com/office/spreadsheetml/2009/9/main" uri="{B025F937-C7B1-47D3-B67F-A62EFF666E3E}">
          <x14:id>{D1CFC072-1096-4363-A0CD-84A4A09DEDF3}</x14:id>
        </ext>
      </extLst>
    </cfRule>
  </conditionalFormatting>
  <conditionalFormatting sqref="K95">
    <cfRule type="dataBar" priority="71">
      <dataBar>
        <cfvo type="min"/>
        <cfvo type="num" val="1"/>
        <color theme="6" tint="0.59999389629810485"/>
      </dataBar>
      <extLst>
        <ext xmlns:x14="http://schemas.microsoft.com/office/spreadsheetml/2009/9/main" uri="{B025F937-C7B1-47D3-B67F-A62EFF666E3E}">
          <x14:id>{01290FBD-1AD5-4C12-9A5A-CAEC94B3EE16}</x14:id>
        </ext>
      </extLst>
    </cfRule>
  </conditionalFormatting>
  <conditionalFormatting sqref="L95">
    <cfRule type="dataBar" priority="70">
      <dataBar>
        <cfvo type="min"/>
        <cfvo type="num" val="1"/>
        <color theme="6" tint="0.59999389629810485"/>
      </dataBar>
      <extLst>
        <ext xmlns:x14="http://schemas.microsoft.com/office/spreadsheetml/2009/9/main" uri="{B025F937-C7B1-47D3-B67F-A62EFF666E3E}">
          <x14:id>{B14711B3-1C70-4C7B-AD48-B36EFDC56DF8}</x14:id>
        </ext>
      </extLst>
    </cfRule>
  </conditionalFormatting>
  <conditionalFormatting sqref="K99">
    <cfRule type="dataBar" priority="65">
      <dataBar>
        <cfvo type="min"/>
        <cfvo type="num" val="1"/>
        <color theme="6" tint="0.59999389629810485"/>
      </dataBar>
      <extLst>
        <ext xmlns:x14="http://schemas.microsoft.com/office/spreadsheetml/2009/9/main" uri="{B025F937-C7B1-47D3-B67F-A62EFF666E3E}">
          <x14:id>{0474994F-B0E1-4887-81BB-264FF858620B}</x14:id>
        </ext>
      </extLst>
    </cfRule>
  </conditionalFormatting>
  <conditionalFormatting sqref="L99">
    <cfRule type="dataBar" priority="64">
      <dataBar>
        <cfvo type="min"/>
        <cfvo type="num" val="1"/>
        <color theme="6" tint="0.59999389629810485"/>
      </dataBar>
      <extLst>
        <ext xmlns:x14="http://schemas.microsoft.com/office/spreadsheetml/2009/9/main" uri="{B025F937-C7B1-47D3-B67F-A62EFF666E3E}">
          <x14:id>{9A65C44E-609E-4D57-99EE-2D87B8143D95}</x14:id>
        </ext>
      </extLst>
    </cfRule>
  </conditionalFormatting>
  <conditionalFormatting sqref="J99">
    <cfRule type="dataBar" priority="63">
      <dataBar>
        <cfvo type="min"/>
        <cfvo type="num" val="1"/>
        <color theme="6" tint="0.59999389629810485"/>
      </dataBar>
      <extLst>
        <ext xmlns:x14="http://schemas.microsoft.com/office/spreadsheetml/2009/9/main" uri="{B025F937-C7B1-47D3-B67F-A62EFF666E3E}">
          <x14:id>{CE34B10E-5235-434F-A3AD-182F7200110D}</x14:id>
        </ext>
      </extLst>
    </cfRule>
  </conditionalFormatting>
  <conditionalFormatting sqref="C98">
    <cfRule type="dataBar" priority="62">
      <dataBar>
        <cfvo type="min"/>
        <cfvo type="num" val="1"/>
        <color theme="3" tint="0.59999389629810485"/>
      </dataBar>
      <extLst>
        <ext xmlns:x14="http://schemas.microsoft.com/office/spreadsheetml/2009/9/main" uri="{B025F937-C7B1-47D3-B67F-A62EFF666E3E}">
          <x14:id>{469D7DD5-EF82-4205-8E50-0B8979538EB1}</x14:id>
        </ext>
      </extLst>
    </cfRule>
  </conditionalFormatting>
  <conditionalFormatting sqref="V3">
    <cfRule type="dataBar" priority="61">
      <dataBar>
        <cfvo type="min"/>
        <cfvo type="num" val="1"/>
        <color theme="6" tint="0.59999389629810485"/>
      </dataBar>
      <extLst>
        <ext xmlns:x14="http://schemas.microsoft.com/office/spreadsheetml/2009/9/main" uri="{B025F937-C7B1-47D3-B67F-A62EFF666E3E}">
          <x14:id>{F660B44D-5C96-44AC-93A7-AB530EE65049}</x14:id>
        </ext>
      </extLst>
    </cfRule>
  </conditionalFormatting>
  <conditionalFormatting sqref="V4">
    <cfRule type="dataBar" priority="60">
      <dataBar>
        <cfvo type="min"/>
        <cfvo type="num" val="1"/>
        <color theme="5" tint="0.59999389629810485"/>
      </dataBar>
      <extLst>
        <ext xmlns:x14="http://schemas.microsoft.com/office/spreadsheetml/2009/9/main" uri="{B025F937-C7B1-47D3-B67F-A62EFF666E3E}">
          <x14:id>{495D821C-E042-429C-884B-52A63B1153B8}</x14:id>
        </ext>
      </extLst>
    </cfRule>
  </conditionalFormatting>
  <conditionalFormatting sqref="V5">
    <cfRule type="dataBar" priority="59">
      <dataBar>
        <cfvo type="min"/>
        <cfvo type="num" val="1"/>
        <color theme="4" tint="0.59999389629810485"/>
      </dataBar>
      <extLst>
        <ext xmlns:x14="http://schemas.microsoft.com/office/spreadsheetml/2009/9/main" uri="{B025F937-C7B1-47D3-B67F-A62EFF666E3E}">
          <x14:id>{047FEA9F-3B21-43E3-933A-5E7DEC33BE94}</x14:id>
        </ext>
      </extLst>
    </cfRule>
  </conditionalFormatting>
  <conditionalFormatting sqref="T3:U3">
    <cfRule type="dataBar" priority="58">
      <dataBar>
        <cfvo type="min"/>
        <cfvo type="num" val="1"/>
        <color theme="6" tint="0.59999389629810485"/>
      </dataBar>
      <extLst>
        <ext xmlns:x14="http://schemas.microsoft.com/office/spreadsheetml/2009/9/main" uri="{B025F937-C7B1-47D3-B67F-A62EFF666E3E}">
          <x14:id>{FAC2D7D0-B0D0-4C1A-82C8-00C08EFE347C}</x14:id>
        </ext>
      </extLst>
    </cfRule>
  </conditionalFormatting>
  <conditionalFormatting sqref="T4:U4">
    <cfRule type="dataBar" priority="57">
      <dataBar>
        <cfvo type="min"/>
        <cfvo type="num" val="1"/>
        <color theme="5" tint="0.59999389629810485"/>
      </dataBar>
      <extLst>
        <ext xmlns:x14="http://schemas.microsoft.com/office/spreadsheetml/2009/9/main" uri="{B025F937-C7B1-47D3-B67F-A62EFF666E3E}">
          <x14:id>{23B566C8-C2A8-4B53-90ED-2E60E02AF426}</x14:id>
        </ext>
      </extLst>
    </cfRule>
  </conditionalFormatting>
  <conditionalFormatting sqref="T5:U5">
    <cfRule type="dataBar" priority="56">
      <dataBar>
        <cfvo type="min"/>
        <cfvo type="num" val="1"/>
        <color theme="4" tint="0.59999389629810485"/>
      </dataBar>
      <extLst>
        <ext xmlns:x14="http://schemas.microsoft.com/office/spreadsheetml/2009/9/main" uri="{B025F937-C7B1-47D3-B67F-A62EFF666E3E}">
          <x14:id>{8A87C6FB-F41D-4762-AA88-C7DBDBF7D35D}</x14:id>
        </ext>
      </extLst>
    </cfRule>
  </conditionalFormatting>
  <conditionalFormatting sqref="E141:E144">
    <cfRule type="dataBar" priority="54">
      <dataBar>
        <cfvo type="min"/>
        <cfvo type="num" val="1"/>
        <color theme="4" tint="0.59999389629810485"/>
      </dataBar>
      <extLst>
        <ext xmlns:x14="http://schemas.microsoft.com/office/spreadsheetml/2009/9/main" uri="{B025F937-C7B1-47D3-B67F-A62EFF666E3E}">
          <x14:id>{F3F71D1D-B203-4327-946E-0BDFD8AABA00}</x14:id>
        </ext>
      </extLst>
    </cfRule>
  </conditionalFormatting>
  <conditionalFormatting sqref="F143:F144">
    <cfRule type="dataBar" priority="53">
      <dataBar>
        <cfvo type="min"/>
        <cfvo type="num" val="1"/>
        <color theme="9" tint="0.59999389629810485"/>
      </dataBar>
      <extLst>
        <ext xmlns:x14="http://schemas.microsoft.com/office/spreadsheetml/2009/9/main" uri="{B025F937-C7B1-47D3-B67F-A62EFF666E3E}">
          <x14:id>{857C1D93-25C9-42EA-97D4-83475FBDB937}</x14:id>
        </ext>
      </extLst>
    </cfRule>
  </conditionalFormatting>
  <conditionalFormatting sqref="G141:G144">
    <cfRule type="dataBar" priority="52">
      <dataBar>
        <cfvo type="min"/>
        <cfvo type="num" val="1"/>
        <color theme="6" tint="0.59999389629810485"/>
      </dataBar>
      <extLst>
        <ext xmlns:x14="http://schemas.microsoft.com/office/spreadsheetml/2009/9/main" uri="{B025F937-C7B1-47D3-B67F-A62EFF666E3E}">
          <x14:id>{C2EB694A-E0DF-42EC-8387-40FB506FA917}</x14:id>
        </ext>
      </extLst>
    </cfRule>
  </conditionalFormatting>
  <conditionalFormatting sqref="C141:D144">
    <cfRule type="dataBar" priority="51">
      <dataBar>
        <cfvo type="min"/>
        <cfvo type="num" val="1"/>
        <color theme="4" tint="0.59999389629810485"/>
      </dataBar>
      <extLst>
        <ext xmlns:x14="http://schemas.microsoft.com/office/spreadsheetml/2009/9/main" uri="{B025F937-C7B1-47D3-B67F-A62EFF666E3E}">
          <x14:id>{E52C1500-57C6-4728-8D6B-3AEBB3987DC3}</x14:id>
        </ext>
      </extLst>
    </cfRule>
  </conditionalFormatting>
  <conditionalFormatting sqref="D145">
    <cfRule type="dataBar" priority="50">
      <dataBar>
        <cfvo type="min"/>
        <cfvo type="num" val="1"/>
        <color theme="3" tint="0.59999389629810485"/>
      </dataBar>
      <extLst>
        <ext xmlns:x14="http://schemas.microsoft.com/office/spreadsheetml/2009/9/main" uri="{B025F937-C7B1-47D3-B67F-A62EFF666E3E}">
          <x14:id>{CA0C5AE2-8D17-4E66-A039-5134D1F445E6}</x14:id>
        </ext>
      </extLst>
    </cfRule>
  </conditionalFormatting>
  <conditionalFormatting sqref="E145:G145">
    <cfRule type="dataBar" priority="55">
      <dataBar>
        <cfvo type="min"/>
        <cfvo type="num" val="1"/>
        <color theme="3" tint="0.59999389629810485"/>
      </dataBar>
      <extLst>
        <ext xmlns:x14="http://schemas.microsoft.com/office/spreadsheetml/2009/9/main" uri="{B025F937-C7B1-47D3-B67F-A62EFF666E3E}">
          <x14:id>{07906B51-6999-4A5D-A12D-D1D35669FA77}</x14:id>
        </ext>
      </extLst>
    </cfRule>
  </conditionalFormatting>
  <conditionalFormatting sqref="F141:F142">
    <cfRule type="dataBar" priority="45">
      <dataBar>
        <cfvo type="min"/>
        <cfvo type="num" val="1"/>
        <color theme="4" tint="0.59999389629810485"/>
      </dataBar>
      <extLst>
        <ext xmlns:x14="http://schemas.microsoft.com/office/spreadsheetml/2009/9/main" uri="{B025F937-C7B1-47D3-B67F-A62EFF666E3E}">
          <x14:id>{BECF245C-C88A-4BA7-8CFF-8C60FAA45517}</x14:id>
        </ext>
      </extLst>
    </cfRule>
  </conditionalFormatting>
  <conditionalFormatting sqref="J142">
    <cfRule type="dataBar" priority="43">
      <dataBar>
        <cfvo type="min"/>
        <cfvo type="num" val="1"/>
        <color theme="6" tint="0.59999389629810485"/>
      </dataBar>
      <extLst>
        <ext xmlns:x14="http://schemas.microsoft.com/office/spreadsheetml/2009/9/main" uri="{B025F937-C7B1-47D3-B67F-A62EFF666E3E}">
          <x14:id>{88841BBF-FFFE-46F8-91D4-36EF25C26816}</x14:id>
        </ext>
      </extLst>
    </cfRule>
  </conditionalFormatting>
  <conditionalFormatting sqref="K142">
    <cfRule type="dataBar" priority="42">
      <dataBar>
        <cfvo type="min"/>
        <cfvo type="num" val="1"/>
        <color theme="6" tint="0.59999389629810485"/>
      </dataBar>
      <extLst>
        <ext xmlns:x14="http://schemas.microsoft.com/office/spreadsheetml/2009/9/main" uri="{B025F937-C7B1-47D3-B67F-A62EFF666E3E}">
          <x14:id>{A75618EE-63E3-4827-AAD2-73029CA2E197}</x14:id>
        </ext>
      </extLst>
    </cfRule>
  </conditionalFormatting>
  <conditionalFormatting sqref="L142">
    <cfRule type="dataBar" priority="41">
      <dataBar>
        <cfvo type="min"/>
        <cfvo type="num" val="1"/>
        <color theme="6" tint="0.59999389629810485"/>
      </dataBar>
      <extLst>
        <ext xmlns:x14="http://schemas.microsoft.com/office/spreadsheetml/2009/9/main" uri="{B025F937-C7B1-47D3-B67F-A62EFF666E3E}">
          <x14:id>{78B7AB7E-B76C-4583-9861-2C2FDC25664C}</x14:id>
        </ext>
      </extLst>
    </cfRule>
  </conditionalFormatting>
  <conditionalFormatting sqref="K146">
    <cfRule type="dataBar" priority="40">
      <dataBar>
        <cfvo type="min"/>
        <cfvo type="num" val="1"/>
        <color theme="6" tint="0.59999389629810485"/>
      </dataBar>
      <extLst>
        <ext xmlns:x14="http://schemas.microsoft.com/office/spreadsheetml/2009/9/main" uri="{B025F937-C7B1-47D3-B67F-A62EFF666E3E}">
          <x14:id>{31533412-9126-488E-A5FE-55E3A8A10B69}</x14:id>
        </ext>
      </extLst>
    </cfRule>
  </conditionalFormatting>
  <conditionalFormatting sqref="L146">
    <cfRule type="dataBar" priority="39">
      <dataBar>
        <cfvo type="min"/>
        <cfvo type="num" val="1"/>
        <color theme="6" tint="0.59999389629810485"/>
      </dataBar>
      <extLst>
        <ext xmlns:x14="http://schemas.microsoft.com/office/spreadsheetml/2009/9/main" uri="{B025F937-C7B1-47D3-B67F-A62EFF666E3E}">
          <x14:id>{A5CA0FB9-6E53-42F6-B2DA-9FB6087B97AD}</x14:id>
        </ext>
      </extLst>
    </cfRule>
  </conditionalFormatting>
  <conditionalFormatting sqref="J146">
    <cfRule type="dataBar" priority="38">
      <dataBar>
        <cfvo type="min"/>
        <cfvo type="num" val="1"/>
        <color theme="6" tint="0.59999389629810485"/>
      </dataBar>
      <extLst>
        <ext xmlns:x14="http://schemas.microsoft.com/office/spreadsheetml/2009/9/main" uri="{B025F937-C7B1-47D3-B67F-A62EFF666E3E}">
          <x14:id>{ECE1F1D5-AA6C-445B-B98F-372C6EAE7C4E}</x14:id>
        </ext>
      </extLst>
    </cfRule>
  </conditionalFormatting>
  <conditionalFormatting sqref="C145">
    <cfRule type="dataBar" priority="37">
      <dataBar>
        <cfvo type="min"/>
        <cfvo type="num" val="1"/>
        <color theme="3" tint="0.59999389629810485"/>
      </dataBar>
      <extLst>
        <ext xmlns:x14="http://schemas.microsoft.com/office/spreadsheetml/2009/9/main" uri="{B025F937-C7B1-47D3-B67F-A62EFF666E3E}">
          <x14:id>{4D9F77A8-2D88-4039-8F33-9DCAB9F94D99}</x14:id>
        </ext>
      </extLst>
    </cfRule>
  </conditionalFormatting>
  <conditionalFormatting sqref="S3">
    <cfRule type="dataBar" priority="36">
      <dataBar>
        <cfvo type="min"/>
        <cfvo type="num" val="1"/>
        <color theme="6" tint="0.59999389629810485"/>
      </dataBar>
      <extLst>
        <ext xmlns:x14="http://schemas.microsoft.com/office/spreadsheetml/2009/9/main" uri="{B025F937-C7B1-47D3-B67F-A62EFF666E3E}">
          <x14:id>{8E831FDF-96B9-435C-B34C-27D0EEB46639}</x14:id>
        </ext>
      </extLst>
    </cfRule>
  </conditionalFormatting>
  <conditionalFormatting sqref="S4">
    <cfRule type="dataBar" priority="35">
      <dataBar>
        <cfvo type="min"/>
        <cfvo type="num" val="1"/>
        <color theme="5" tint="0.59999389629810485"/>
      </dataBar>
      <extLst>
        <ext xmlns:x14="http://schemas.microsoft.com/office/spreadsheetml/2009/9/main" uri="{B025F937-C7B1-47D3-B67F-A62EFF666E3E}">
          <x14:id>{8C9F424F-124A-49A6-8BA9-4E6BDE46F9A3}</x14:id>
        </ext>
      </extLst>
    </cfRule>
  </conditionalFormatting>
  <conditionalFormatting sqref="S5">
    <cfRule type="dataBar" priority="34">
      <dataBar>
        <cfvo type="min"/>
        <cfvo type="num" val="1"/>
        <color theme="4" tint="0.59999389629810485"/>
      </dataBar>
      <extLst>
        <ext xmlns:x14="http://schemas.microsoft.com/office/spreadsheetml/2009/9/main" uri="{B025F937-C7B1-47D3-B67F-A62EFF666E3E}">
          <x14:id>{9FEAE7E4-6201-46F2-A18F-A96D9C36552E}</x14:id>
        </ext>
      </extLst>
    </cfRule>
  </conditionalFormatting>
  <conditionalFormatting sqref="AD3:AE5">
    <cfRule type="dataBar" priority="33">
      <dataBar>
        <cfvo type="min"/>
        <cfvo type="num" val="1"/>
        <color theme="6" tint="0.59999389629810485"/>
      </dataBar>
      <extLst>
        <ext xmlns:x14="http://schemas.microsoft.com/office/spreadsheetml/2009/9/main" uri="{B025F937-C7B1-47D3-B67F-A62EFF666E3E}">
          <x14:id>{C6E4FC54-4384-634B-A57E-374732582EE9}</x14:id>
        </ext>
      </extLst>
    </cfRule>
  </conditionalFormatting>
  <conditionalFormatting sqref="AA3:AC5">
    <cfRule type="dataBar" priority="30">
      <dataBar>
        <cfvo type="min"/>
        <cfvo type="num" val="1"/>
        <color theme="6" tint="0.59999389629810485"/>
      </dataBar>
      <extLst>
        <ext xmlns:x14="http://schemas.microsoft.com/office/spreadsheetml/2009/9/main" uri="{B025F937-C7B1-47D3-B67F-A62EFF666E3E}">
          <x14:id>{340D5164-33E3-0544-887E-3DF01BFB7BF1}</x14:id>
        </ext>
      </extLst>
    </cfRule>
  </conditionalFormatting>
  <conditionalFormatting sqref="J154">
    <cfRule type="dataBar" priority="24">
      <dataBar>
        <cfvo type="min"/>
        <cfvo type="num" val="1"/>
        <color theme="6" tint="0.59999389629810485"/>
      </dataBar>
      <extLst>
        <ext xmlns:x14="http://schemas.microsoft.com/office/spreadsheetml/2009/9/main" uri="{B025F937-C7B1-47D3-B67F-A62EFF666E3E}">
          <x14:id>{3109E266-146B-9D44-8D20-E71755262DF3}</x14:id>
        </ext>
      </extLst>
    </cfRule>
  </conditionalFormatting>
  <conditionalFormatting sqref="K154">
    <cfRule type="dataBar" priority="23">
      <dataBar>
        <cfvo type="min"/>
        <cfvo type="num" val="1"/>
        <color theme="6" tint="0.59999389629810485"/>
      </dataBar>
      <extLst>
        <ext xmlns:x14="http://schemas.microsoft.com/office/spreadsheetml/2009/9/main" uri="{B025F937-C7B1-47D3-B67F-A62EFF666E3E}">
          <x14:id>{F4B80892-398F-CC4F-B55D-BCF400A91C0C}</x14:id>
        </ext>
      </extLst>
    </cfRule>
  </conditionalFormatting>
  <conditionalFormatting sqref="L154">
    <cfRule type="dataBar" priority="22">
      <dataBar>
        <cfvo type="min"/>
        <cfvo type="num" val="1"/>
        <color theme="6" tint="0.59999389629810485"/>
      </dataBar>
      <extLst>
        <ext xmlns:x14="http://schemas.microsoft.com/office/spreadsheetml/2009/9/main" uri="{B025F937-C7B1-47D3-B67F-A62EFF666E3E}">
          <x14:id>{46EC0C3D-546B-D94F-B4EB-9DC237291682}</x14:id>
        </ext>
      </extLst>
    </cfRule>
  </conditionalFormatting>
  <conditionalFormatting sqref="K158">
    <cfRule type="dataBar" priority="21">
      <dataBar>
        <cfvo type="min"/>
        <cfvo type="num" val="1"/>
        <color theme="6" tint="0.59999389629810485"/>
      </dataBar>
      <extLst>
        <ext xmlns:x14="http://schemas.microsoft.com/office/spreadsheetml/2009/9/main" uri="{B025F937-C7B1-47D3-B67F-A62EFF666E3E}">
          <x14:id>{621B12F6-D95F-7D4D-9A09-00D54C340ED1}</x14:id>
        </ext>
      </extLst>
    </cfRule>
  </conditionalFormatting>
  <conditionalFormatting sqref="L158">
    <cfRule type="dataBar" priority="20">
      <dataBar>
        <cfvo type="min"/>
        <cfvo type="num" val="1"/>
        <color theme="6" tint="0.59999389629810485"/>
      </dataBar>
      <extLst>
        <ext xmlns:x14="http://schemas.microsoft.com/office/spreadsheetml/2009/9/main" uri="{B025F937-C7B1-47D3-B67F-A62EFF666E3E}">
          <x14:id>{F12ABE15-9B67-F040-A351-9F218988DFB7}</x14:id>
        </ext>
      </extLst>
    </cfRule>
  </conditionalFormatting>
  <conditionalFormatting sqref="J158">
    <cfRule type="dataBar" priority="19">
      <dataBar>
        <cfvo type="min"/>
        <cfvo type="num" val="1"/>
        <color theme="6" tint="0.59999389629810485"/>
      </dataBar>
      <extLst>
        <ext xmlns:x14="http://schemas.microsoft.com/office/spreadsheetml/2009/9/main" uri="{B025F937-C7B1-47D3-B67F-A62EFF666E3E}">
          <x14:id>{2888638F-5B08-7743-A848-C947A93364E0}</x14:id>
        </ext>
      </extLst>
    </cfRule>
  </conditionalFormatting>
  <conditionalFormatting sqref="J163">
    <cfRule type="dataBar" priority="18">
      <dataBar>
        <cfvo type="min"/>
        <cfvo type="num" val="1"/>
        <color theme="6" tint="0.59999389629810485"/>
      </dataBar>
      <extLst>
        <ext xmlns:x14="http://schemas.microsoft.com/office/spreadsheetml/2009/9/main" uri="{B025F937-C7B1-47D3-B67F-A62EFF666E3E}">
          <x14:id>{E87BEE4E-BE95-4808-A538-A25A5B5459D7}</x14:id>
        </ext>
      </extLst>
    </cfRule>
  </conditionalFormatting>
  <conditionalFormatting sqref="K163">
    <cfRule type="dataBar" priority="17">
      <dataBar>
        <cfvo type="min"/>
        <cfvo type="num" val="1"/>
        <color theme="6" tint="0.59999389629810485"/>
      </dataBar>
      <extLst>
        <ext xmlns:x14="http://schemas.microsoft.com/office/spreadsheetml/2009/9/main" uri="{B025F937-C7B1-47D3-B67F-A62EFF666E3E}">
          <x14:id>{8CCC05AF-81C3-4CCE-8F4B-DF365569F2C3}</x14:id>
        </ext>
      </extLst>
    </cfRule>
  </conditionalFormatting>
  <conditionalFormatting sqref="L163">
    <cfRule type="dataBar" priority="16">
      <dataBar>
        <cfvo type="min"/>
        <cfvo type="num" val="1"/>
        <color theme="6" tint="0.59999389629810485"/>
      </dataBar>
      <extLst>
        <ext xmlns:x14="http://schemas.microsoft.com/office/spreadsheetml/2009/9/main" uri="{B025F937-C7B1-47D3-B67F-A62EFF666E3E}">
          <x14:id>{0859B817-CC7A-431F-BDB5-DE56AF260C06}</x14:id>
        </ext>
      </extLst>
    </cfRule>
  </conditionalFormatting>
  <conditionalFormatting sqref="K167">
    <cfRule type="dataBar" priority="15">
      <dataBar>
        <cfvo type="min"/>
        <cfvo type="num" val="1"/>
        <color theme="6" tint="0.59999389629810485"/>
      </dataBar>
      <extLst>
        <ext xmlns:x14="http://schemas.microsoft.com/office/spreadsheetml/2009/9/main" uri="{B025F937-C7B1-47D3-B67F-A62EFF666E3E}">
          <x14:id>{075FC229-21A4-4059-8FED-8167FB6F99FE}</x14:id>
        </ext>
      </extLst>
    </cfRule>
  </conditionalFormatting>
  <conditionalFormatting sqref="L167">
    <cfRule type="dataBar" priority="14">
      <dataBar>
        <cfvo type="min"/>
        <cfvo type="num" val="1"/>
        <color theme="6" tint="0.59999389629810485"/>
      </dataBar>
      <extLst>
        <ext xmlns:x14="http://schemas.microsoft.com/office/spreadsheetml/2009/9/main" uri="{B025F937-C7B1-47D3-B67F-A62EFF666E3E}">
          <x14:id>{62517FFD-CFA1-476A-96B7-B28E9DEBE9F6}</x14:id>
        </ext>
      </extLst>
    </cfRule>
  </conditionalFormatting>
  <conditionalFormatting sqref="J167">
    <cfRule type="dataBar" priority="13">
      <dataBar>
        <cfvo type="min"/>
        <cfvo type="num" val="1"/>
        <color theme="6" tint="0.59999389629810485"/>
      </dataBar>
      <extLst>
        <ext xmlns:x14="http://schemas.microsoft.com/office/spreadsheetml/2009/9/main" uri="{B025F937-C7B1-47D3-B67F-A62EFF666E3E}">
          <x14:id>{1FFBBCBF-74EA-40DF-AD7E-C9E067CF3083}</x14:id>
        </ext>
      </extLst>
    </cfRule>
  </conditionalFormatting>
  <conditionalFormatting sqref="J172">
    <cfRule type="dataBar" priority="12">
      <dataBar>
        <cfvo type="min"/>
        <cfvo type="num" val="1"/>
        <color theme="6" tint="0.59999389629810485"/>
      </dataBar>
      <extLst>
        <ext xmlns:x14="http://schemas.microsoft.com/office/spreadsheetml/2009/9/main" uri="{B025F937-C7B1-47D3-B67F-A62EFF666E3E}">
          <x14:id>{358AE11D-DFF2-4A43-B67B-D35AA0610977}</x14:id>
        </ext>
      </extLst>
    </cfRule>
  </conditionalFormatting>
  <conditionalFormatting sqref="K172">
    <cfRule type="dataBar" priority="11">
      <dataBar>
        <cfvo type="min"/>
        <cfvo type="num" val="1"/>
        <color theme="6" tint="0.59999389629810485"/>
      </dataBar>
      <extLst>
        <ext xmlns:x14="http://schemas.microsoft.com/office/spreadsheetml/2009/9/main" uri="{B025F937-C7B1-47D3-B67F-A62EFF666E3E}">
          <x14:id>{C0C0CC0E-CFC0-4D84-96C4-6ACBCCE2EF13}</x14:id>
        </ext>
      </extLst>
    </cfRule>
  </conditionalFormatting>
  <conditionalFormatting sqref="L172">
    <cfRule type="dataBar" priority="10">
      <dataBar>
        <cfvo type="min"/>
        <cfvo type="num" val="1"/>
        <color theme="6" tint="0.59999389629810485"/>
      </dataBar>
      <extLst>
        <ext xmlns:x14="http://schemas.microsoft.com/office/spreadsheetml/2009/9/main" uri="{B025F937-C7B1-47D3-B67F-A62EFF666E3E}">
          <x14:id>{899756D6-D7A4-4D32-B465-E29C529A44AE}</x14:id>
        </ext>
      </extLst>
    </cfRule>
  </conditionalFormatting>
  <conditionalFormatting sqref="K176">
    <cfRule type="dataBar" priority="9">
      <dataBar>
        <cfvo type="min"/>
        <cfvo type="num" val="1"/>
        <color theme="6" tint="0.59999389629810485"/>
      </dataBar>
      <extLst>
        <ext xmlns:x14="http://schemas.microsoft.com/office/spreadsheetml/2009/9/main" uri="{B025F937-C7B1-47D3-B67F-A62EFF666E3E}">
          <x14:id>{DD5B9736-974B-458A-80F9-375D073A788E}</x14:id>
        </ext>
      </extLst>
    </cfRule>
  </conditionalFormatting>
  <conditionalFormatting sqref="L176">
    <cfRule type="dataBar" priority="8">
      <dataBar>
        <cfvo type="min"/>
        <cfvo type="num" val="1"/>
        <color theme="6" tint="0.59999389629810485"/>
      </dataBar>
      <extLst>
        <ext xmlns:x14="http://schemas.microsoft.com/office/spreadsheetml/2009/9/main" uri="{B025F937-C7B1-47D3-B67F-A62EFF666E3E}">
          <x14:id>{5AD28D8C-3268-438A-88A5-60212B2ABD06}</x14:id>
        </ext>
      </extLst>
    </cfRule>
  </conditionalFormatting>
  <conditionalFormatting sqref="J176">
    <cfRule type="dataBar" priority="7">
      <dataBar>
        <cfvo type="min"/>
        <cfvo type="num" val="1"/>
        <color theme="6" tint="0.59999389629810485"/>
      </dataBar>
      <extLst>
        <ext xmlns:x14="http://schemas.microsoft.com/office/spreadsheetml/2009/9/main" uri="{B025F937-C7B1-47D3-B67F-A62EFF666E3E}">
          <x14:id>{9AD4EE39-3FFA-446B-B695-F2892FFE0747}</x14:id>
        </ext>
      </extLst>
    </cfRule>
  </conditionalFormatting>
  <conditionalFormatting sqref="J181">
    <cfRule type="dataBar" priority="6">
      <dataBar>
        <cfvo type="min"/>
        <cfvo type="num" val="1"/>
        <color theme="6" tint="0.59999389629810485"/>
      </dataBar>
      <extLst>
        <ext xmlns:x14="http://schemas.microsoft.com/office/spreadsheetml/2009/9/main" uri="{B025F937-C7B1-47D3-B67F-A62EFF666E3E}">
          <x14:id>{5633C64C-882D-4B7A-9782-65CB9C338899}</x14:id>
        </ext>
      </extLst>
    </cfRule>
  </conditionalFormatting>
  <conditionalFormatting sqref="K181">
    <cfRule type="dataBar" priority="5">
      <dataBar>
        <cfvo type="min"/>
        <cfvo type="num" val="1"/>
        <color theme="6" tint="0.59999389629810485"/>
      </dataBar>
      <extLst>
        <ext xmlns:x14="http://schemas.microsoft.com/office/spreadsheetml/2009/9/main" uri="{B025F937-C7B1-47D3-B67F-A62EFF666E3E}">
          <x14:id>{CFD906C5-AB42-49B3-99D6-F09D59406D7F}</x14:id>
        </ext>
      </extLst>
    </cfRule>
  </conditionalFormatting>
  <conditionalFormatting sqref="L181">
    <cfRule type="dataBar" priority="4">
      <dataBar>
        <cfvo type="min"/>
        <cfvo type="num" val="1"/>
        <color theme="6" tint="0.59999389629810485"/>
      </dataBar>
      <extLst>
        <ext xmlns:x14="http://schemas.microsoft.com/office/spreadsheetml/2009/9/main" uri="{B025F937-C7B1-47D3-B67F-A62EFF666E3E}">
          <x14:id>{F76EDA19-80AD-4DA6-8999-CD8BB279B9C7}</x14:id>
        </ext>
      </extLst>
    </cfRule>
  </conditionalFormatting>
  <conditionalFormatting sqref="K185">
    <cfRule type="dataBar" priority="3">
      <dataBar>
        <cfvo type="min"/>
        <cfvo type="num" val="1"/>
        <color theme="6" tint="0.59999389629810485"/>
      </dataBar>
      <extLst>
        <ext xmlns:x14="http://schemas.microsoft.com/office/spreadsheetml/2009/9/main" uri="{B025F937-C7B1-47D3-B67F-A62EFF666E3E}">
          <x14:id>{E60F736A-AA98-4500-8337-5CED2E614E84}</x14:id>
        </ext>
      </extLst>
    </cfRule>
  </conditionalFormatting>
  <conditionalFormatting sqref="L185">
    <cfRule type="dataBar" priority="2">
      <dataBar>
        <cfvo type="min"/>
        <cfvo type="num" val="1"/>
        <color theme="6" tint="0.59999389629810485"/>
      </dataBar>
      <extLst>
        <ext xmlns:x14="http://schemas.microsoft.com/office/spreadsheetml/2009/9/main" uri="{B025F937-C7B1-47D3-B67F-A62EFF666E3E}">
          <x14:id>{C171AA19-86FB-4B34-9D00-A531874B47D0}</x14:id>
        </ext>
      </extLst>
    </cfRule>
  </conditionalFormatting>
  <conditionalFormatting sqref="J185">
    <cfRule type="dataBar" priority="1">
      <dataBar>
        <cfvo type="min"/>
        <cfvo type="num" val="1"/>
        <color theme="6" tint="0.59999389629810485"/>
      </dataBar>
      <extLst>
        <ext xmlns:x14="http://schemas.microsoft.com/office/spreadsheetml/2009/9/main" uri="{B025F937-C7B1-47D3-B67F-A62EFF666E3E}">
          <x14:id>{9A57377A-CA7C-4521-8881-B6A22CC26EFF}</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7FA8224-27BF-4521-AB79-3A64DBC21118}">
            <x14:dataBar minLength="0" maxLength="100" gradient="0">
              <x14:cfvo type="autoMin"/>
              <x14:cfvo type="num">
                <xm:f>1</xm:f>
              </x14:cfvo>
              <x14:negativeFillColor rgb="FFFF0000"/>
              <x14:axisColor rgb="FF000000"/>
            </x14:dataBar>
          </x14:cfRule>
          <xm:sqref>E2:E5</xm:sqref>
        </x14:conditionalFormatting>
        <x14:conditionalFormatting xmlns:xm="http://schemas.microsoft.com/office/excel/2006/main">
          <x14:cfRule type="dataBar" id="{22624BEB-B66D-45AF-B27F-5584B6F6C04E}">
            <x14:dataBar minLength="0" maxLength="100" gradient="0">
              <x14:cfvo type="autoMin"/>
              <x14:cfvo type="num">
                <xm:f>1</xm:f>
              </x14:cfvo>
              <x14:negativeFillColor rgb="FFFF0000"/>
              <x14:axisColor rgb="FF000000"/>
            </x14:dataBar>
          </x14:cfRule>
          <xm:sqref>F2:F5</xm:sqref>
        </x14:conditionalFormatting>
        <x14:conditionalFormatting xmlns:xm="http://schemas.microsoft.com/office/excel/2006/main">
          <x14:cfRule type="dataBar" id="{C59B078A-1EA4-49E3-986C-EE50CEA8ADB8}">
            <x14:dataBar minLength="0" maxLength="100" gradient="0">
              <x14:cfvo type="autoMin"/>
              <x14:cfvo type="num">
                <xm:f>1</xm:f>
              </x14:cfvo>
              <x14:negativeFillColor rgb="FFFF0000"/>
              <x14:axisColor rgb="FF000000"/>
            </x14:dataBar>
          </x14:cfRule>
          <xm:sqref>G2:G5</xm:sqref>
        </x14:conditionalFormatting>
        <x14:conditionalFormatting xmlns:xm="http://schemas.microsoft.com/office/excel/2006/main">
          <x14:cfRule type="dataBar" id="{702AD501-89C2-4F27-A660-8D6124709F60}">
            <x14:dataBar minLength="0" maxLength="100" gradient="0">
              <x14:cfvo type="autoMin"/>
              <x14:cfvo type="num">
                <xm:f>1</xm:f>
              </x14:cfvo>
              <x14:negativeFillColor rgb="FFFF0000"/>
              <x14:axisColor rgb="FF000000"/>
            </x14:dataBar>
          </x14:cfRule>
          <xm:sqref>C2:D2</xm:sqref>
        </x14:conditionalFormatting>
        <x14:conditionalFormatting xmlns:xm="http://schemas.microsoft.com/office/excel/2006/main">
          <x14:cfRule type="dataBar" id="{9523F34D-E616-4F1C-8A1A-0CABEEF8249D}">
            <x14:dataBar minLength="0" maxLength="100" gradient="0">
              <x14:cfvo type="autoMin"/>
              <x14:cfvo type="num">
                <xm:f>1</xm:f>
              </x14:cfvo>
              <x14:negativeFillColor rgb="FFFF0000"/>
              <x14:axisColor rgb="FF000000"/>
            </x14:dataBar>
          </x14:cfRule>
          <xm:sqref>C3:C5</xm:sqref>
        </x14:conditionalFormatting>
        <x14:conditionalFormatting xmlns:xm="http://schemas.microsoft.com/office/excel/2006/main">
          <x14:cfRule type="dataBar" id="{5650F044-C67B-43A7-B3F0-2085A9EACBE2}">
            <x14:dataBar minLength="0" maxLength="100" gradient="0">
              <x14:cfvo type="autoMin"/>
              <x14:cfvo type="num">
                <xm:f>1</xm:f>
              </x14:cfvo>
              <x14:negativeFillColor rgb="FFFF0000"/>
              <x14:axisColor rgb="FF000000"/>
            </x14:dataBar>
          </x14:cfRule>
          <xm:sqref>D3:D5</xm:sqref>
        </x14:conditionalFormatting>
        <x14:conditionalFormatting xmlns:xm="http://schemas.microsoft.com/office/excel/2006/main">
          <x14:cfRule type="dataBar" id="{8D5871EE-8638-4DBD-945C-43E7C9A02CCC}">
            <x14:dataBar minLength="0" maxLength="100" gradient="0">
              <x14:cfvo type="autoMin"/>
              <x14:cfvo type="num">
                <xm:f>1</xm:f>
              </x14:cfvo>
              <x14:negativeFillColor rgb="FFFF0000"/>
              <x14:axisColor rgb="FF000000"/>
            </x14:dataBar>
          </x14:cfRule>
          <xm:sqref>C6:D6</xm:sqref>
        </x14:conditionalFormatting>
        <x14:conditionalFormatting xmlns:xm="http://schemas.microsoft.com/office/excel/2006/main">
          <x14:cfRule type="dataBar" id="{F008B1BD-9F1C-4B50-8DB1-1C0E37FAD2BC}">
            <x14:dataBar minLength="0" maxLength="100" gradient="0">
              <x14:cfvo type="autoMin"/>
              <x14:cfvo type="num">
                <xm:f>1</xm:f>
              </x14:cfvo>
              <x14:negativeFillColor rgb="FFFF0000"/>
              <x14:axisColor rgb="FF000000"/>
            </x14:dataBar>
          </x14:cfRule>
          <xm:sqref>E6:G6</xm:sqref>
        </x14:conditionalFormatting>
        <x14:conditionalFormatting xmlns:xm="http://schemas.microsoft.com/office/excel/2006/main">
          <x14:cfRule type="dataBar" id="{642142FD-4513-452C-9A31-885D20C1BF91}">
            <x14:dataBar minLength="0" maxLength="100" gradient="0">
              <x14:cfvo type="autoMin"/>
              <x14:cfvo type="num">
                <xm:f>1</xm:f>
              </x14:cfvo>
              <x14:negativeFillColor rgb="FFFF0000"/>
              <x14:axisColor rgb="FF000000"/>
            </x14:dataBar>
          </x14:cfRule>
          <xm:sqref>J3</xm:sqref>
        </x14:conditionalFormatting>
        <x14:conditionalFormatting xmlns:xm="http://schemas.microsoft.com/office/excel/2006/main">
          <x14:cfRule type="dataBar" id="{55D235EC-C7A6-4F81-89CC-FEBDC5657876}">
            <x14:dataBar minLength="0" maxLength="100" gradient="0">
              <x14:cfvo type="autoMin"/>
              <x14:cfvo type="num">
                <xm:f>1</xm:f>
              </x14:cfvo>
              <x14:negativeFillColor rgb="FFFF0000"/>
              <x14:axisColor rgb="FF000000"/>
            </x14:dataBar>
          </x14:cfRule>
          <xm:sqref>K3</xm:sqref>
        </x14:conditionalFormatting>
        <x14:conditionalFormatting xmlns:xm="http://schemas.microsoft.com/office/excel/2006/main">
          <x14:cfRule type="dataBar" id="{8E0542F5-4CF0-4AB1-B8EC-D844C5D90FD0}">
            <x14:dataBar minLength="0" maxLength="100" gradient="0">
              <x14:cfvo type="autoMin"/>
              <x14:cfvo type="num">
                <xm:f>1</xm:f>
              </x14:cfvo>
              <x14:negativeFillColor rgb="FFFF0000"/>
              <x14:axisColor rgb="FF000000"/>
            </x14:dataBar>
          </x14:cfRule>
          <xm:sqref>L3</xm:sqref>
        </x14:conditionalFormatting>
        <x14:conditionalFormatting xmlns:xm="http://schemas.microsoft.com/office/excel/2006/main">
          <x14:cfRule type="dataBar" id="{2DFF5971-99D9-41F9-BEF3-CD514EF1D2EA}">
            <x14:dataBar minLength="0" maxLength="100" gradient="0">
              <x14:cfvo type="autoMin"/>
              <x14:cfvo type="num">
                <xm:f>1</xm:f>
              </x14:cfvo>
              <x14:negativeFillColor rgb="FFFF0000"/>
              <x14:axisColor rgb="FF000000"/>
            </x14:dataBar>
          </x14:cfRule>
          <xm:sqref>J7</xm:sqref>
        </x14:conditionalFormatting>
        <x14:conditionalFormatting xmlns:xm="http://schemas.microsoft.com/office/excel/2006/main">
          <x14:cfRule type="dataBar" id="{DF5A9530-66EE-4782-A943-24C74188924E}">
            <x14:dataBar minLength="0" maxLength="100" gradient="0">
              <x14:cfvo type="autoMin"/>
              <x14:cfvo type="num">
                <xm:f>1</xm:f>
              </x14:cfvo>
              <x14:negativeFillColor rgb="FFFF0000"/>
              <x14:axisColor rgb="FF000000"/>
            </x14:dataBar>
          </x14:cfRule>
          <xm:sqref>K7</xm:sqref>
        </x14:conditionalFormatting>
        <x14:conditionalFormatting xmlns:xm="http://schemas.microsoft.com/office/excel/2006/main">
          <x14:cfRule type="dataBar" id="{607F2CDE-1C4E-43BE-BEC7-E18CCDD12EA5}">
            <x14:dataBar minLength="0" maxLength="100" gradient="0">
              <x14:cfvo type="autoMin"/>
              <x14:cfvo type="num">
                <xm:f>1</xm:f>
              </x14:cfvo>
              <x14:negativeFillColor rgb="FFFF0000"/>
              <x14:axisColor rgb="FF000000"/>
            </x14:dataBar>
          </x14:cfRule>
          <xm:sqref>L7</xm:sqref>
        </x14:conditionalFormatting>
        <x14:conditionalFormatting xmlns:xm="http://schemas.microsoft.com/office/excel/2006/main">
          <x14:cfRule type="dataBar" id="{6B14FC4B-61CC-4E96-939B-DE082303BF52}">
            <x14:dataBar minLength="0" maxLength="100" gradient="0">
              <x14:cfvo type="autoMin"/>
              <x14:cfvo type="num">
                <xm:f>1</xm:f>
              </x14:cfvo>
              <x14:negativeFillColor rgb="FFFF0000"/>
              <x14:axisColor rgb="FF000000"/>
            </x14:dataBar>
          </x14:cfRule>
          <xm:sqref>E48:E51</xm:sqref>
        </x14:conditionalFormatting>
        <x14:conditionalFormatting xmlns:xm="http://schemas.microsoft.com/office/excel/2006/main">
          <x14:cfRule type="dataBar" id="{CEDB4DDC-5A97-4E1E-84E3-6EF214269A9D}">
            <x14:dataBar minLength="0" maxLength="100" gradient="0">
              <x14:cfvo type="autoMin"/>
              <x14:cfvo type="num">
                <xm:f>1</xm:f>
              </x14:cfvo>
              <x14:negativeFillColor rgb="FFFF0000"/>
              <x14:axisColor rgb="FF000000"/>
            </x14:dataBar>
          </x14:cfRule>
          <xm:sqref>F48:F51</xm:sqref>
        </x14:conditionalFormatting>
        <x14:conditionalFormatting xmlns:xm="http://schemas.microsoft.com/office/excel/2006/main">
          <x14:cfRule type="dataBar" id="{251D4CAF-3409-4293-85F5-9B14C34BE004}">
            <x14:dataBar minLength="0" maxLength="100" gradient="0">
              <x14:cfvo type="autoMin"/>
              <x14:cfvo type="num">
                <xm:f>1</xm:f>
              </x14:cfvo>
              <x14:negativeFillColor rgb="FFFF0000"/>
              <x14:axisColor rgb="FF000000"/>
            </x14:dataBar>
          </x14:cfRule>
          <xm:sqref>G48:G51</xm:sqref>
        </x14:conditionalFormatting>
        <x14:conditionalFormatting xmlns:xm="http://schemas.microsoft.com/office/excel/2006/main">
          <x14:cfRule type="dataBar" id="{B609598D-104D-4111-A400-84BAE1B1B42B}">
            <x14:dataBar minLength="0" maxLength="100" gradient="0">
              <x14:cfvo type="autoMin"/>
              <x14:cfvo type="num">
                <xm:f>1</xm:f>
              </x14:cfvo>
              <x14:negativeFillColor rgb="FFFF0000"/>
              <x14:axisColor rgb="FF000000"/>
            </x14:dataBar>
          </x14:cfRule>
          <xm:sqref>C48:D49</xm:sqref>
        </x14:conditionalFormatting>
        <x14:conditionalFormatting xmlns:xm="http://schemas.microsoft.com/office/excel/2006/main">
          <x14:cfRule type="dataBar" id="{3EA7A740-B593-45AA-8784-F0EFDF1FAF54}">
            <x14:dataBar minLength="0" maxLength="100" gradient="0">
              <x14:cfvo type="autoMin"/>
              <x14:cfvo type="num">
                <xm:f>1</xm:f>
              </x14:cfvo>
              <x14:negativeFillColor rgb="FFFF0000"/>
              <x14:axisColor rgb="FF000000"/>
            </x14:dataBar>
          </x14:cfRule>
          <xm:sqref>C50:C51</xm:sqref>
        </x14:conditionalFormatting>
        <x14:conditionalFormatting xmlns:xm="http://schemas.microsoft.com/office/excel/2006/main">
          <x14:cfRule type="dataBar" id="{BD4C1230-92B4-4758-A042-4B4F44801021}">
            <x14:dataBar minLength="0" maxLength="100" gradient="0">
              <x14:cfvo type="autoMin"/>
              <x14:cfvo type="num">
                <xm:f>1</xm:f>
              </x14:cfvo>
              <x14:negativeFillColor rgb="FFFF0000"/>
              <x14:axisColor rgb="FF000000"/>
            </x14:dataBar>
          </x14:cfRule>
          <xm:sqref>C52:D52</xm:sqref>
        </x14:conditionalFormatting>
        <x14:conditionalFormatting xmlns:xm="http://schemas.microsoft.com/office/excel/2006/main">
          <x14:cfRule type="dataBar" id="{8064DBFF-643C-4942-9AB8-AB5AC675C128}">
            <x14:dataBar minLength="0" maxLength="100" gradient="0">
              <x14:cfvo type="autoMin"/>
              <x14:cfvo type="num">
                <xm:f>1</xm:f>
              </x14:cfvo>
              <x14:negativeFillColor rgb="FFFF0000"/>
              <x14:axisColor rgb="FF000000"/>
            </x14:dataBar>
          </x14:cfRule>
          <xm:sqref>E52:G52</xm:sqref>
        </x14:conditionalFormatting>
        <x14:conditionalFormatting xmlns:xm="http://schemas.microsoft.com/office/excel/2006/main">
          <x14:cfRule type="dataBar" id="{26BE35D2-FA4D-4B60-A8BC-805A5E437148}">
            <x14:dataBar minLength="0" maxLength="100" gradient="0">
              <x14:cfvo type="autoMin"/>
              <x14:cfvo type="num">
                <xm:f>1</xm:f>
              </x14:cfvo>
              <x14:negativeFillColor rgb="FFFF0000"/>
              <x14:axisColor rgb="FF000000"/>
            </x14:dataBar>
          </x14:cfRule>
          <xm:sqref>D50:D51</xm:sqref>
        </x14:conditionalFormatting>
        <x14:conditionalFormatting xmlns:xm="http://schemas.microsoft.com/office/excel/2006/main">
          <x14:cfRule type="dataBar" id="{BC896D3A-0258-4B55-8E27-1EACD7BCED9B}">
            <x14:dataBar minLength="0" maxLength="100" gradient="0">
              <x14:cfvo type="autoMin"/>
              <x14:cfvo type="num">
                <xm:f>1</xm:f>
              </x14:cfvo>
              <x14:negativeFillColor rgb="FFFF0000"/>
              <x14:axisColor rgb="FF000000"/>
            </x14:dataBar>
          </x14:cfRule>
          <xm:sqref>J49</xm:sqref>
        </x14:conditionalFormatting>
        <x14:conditionalFormatting xmlns:xm="http://schemas.microsoft.com/office/excel/2006/main">
          <x14:cfRule type="dataBar" id="{424CF314-941A-4000-A68E-0E7B99590C42}">
            <x14:dataBar minLength="0" maxLength="100" gradient="0">
              <x14:cfvo type="autoMin"/>
              <x14:cfvo type="num">
                <xm:f>1</xm:f>
              </x14:cfvo>
              <x14:negativeFillColor rgb="FFFF0000"/>
              <x14:axisColor rgb="FF000000"/>
            </x14:dataBar>
          </x14:cfRule>
          <xm:sqref>K49</xm:sqref>
        </x14:conditionalFormatting>
        <x14:conditionalFormatting xmlns:xm="http://schemas.microsoft.com/office/excel/2006/main">
          <x14:cfRule type="dataBar" id="{E2D392B9-6443-4773-AD86-F0E4956492AA}">
            <x14:dataBar minLength="0" maxLength="100" gradient="0">
              <x14:cfvo type="autoMin"/>
              <x14:cfvo type="num">
                <xm:f>1</xm:f>
              </x14:cfvo>
              <x14:negativeFillColor rgb="FFFF0000"/>
              <x14:axisColor rgb="FF000000"/>
            </x14:dataBar>
          </x14:cfRule>
          <xm:sqref>L49</xm:sqref>
        </x14:conditionalFormatting>
        <x14:conditionalFormatting xmlns:xm="http://schemas.microsoft.com/office/excel/2006/main">
          <x14:cfRule type="dataBar" id="{3AF35E8B-A9D2-4066-80E4-CA8F9D4C4A45}">
            <x14:dataBar minLength="0" maxLength="100" gradient="0">
              <x14:cfvo type="autoMin"/>
              <x14:cfvo type="num">
                <xm:f>1</xm:f>
              </x14:cfvo>
              <x14:negativeFillColor rgb="FFFF0000"/>
              <x14:axisColor rgb="FF000000"/>
            </x14:dataBar>
          </x14:cfRule>
          <xm:sqref>J53</xm:sqref>
        </x14:conditionalFormatting>
        <x14:conditionalFormatting xmlns:xm="http://schemas.microsoft.com/office/excel/2006/main">
          <x14:cfRule type="dataBar" id="{CBC8111A-D651-41AC-8056-8ED9DBF05655}">
            <x14:dataBar minLength="0" maxLength="100" gradient="0">
              <x14:cfvo type="autoMin"/>
              <x14:cfvo type="num">
                <xm:f>1</xm:f>
              </x14:cfvo>
              <x14:negativeFillColor rgb="FFFF0000"/>
              <x14:axisColor rgb="FF000000"/>
            </x14:dataBar>
          </x14:cfRule>
          <xm:sqref>K53</xm:sqref>
        </x14:conditionalFormatting>
        <x14:conditionalFormatting xmlns:xm="http://schemas.microsoft.com/office/excel/2006/main">
          <x14:cfRule type="dataBar" id="{4DEDC732-63E3-465B-83C9-B6B142076F33}">
            <x14:dataBar minLength="0" maxLength="100" gradient="0">
              <x14:cfvo type="autoMin"/>
              <x14:cfvo type="num">
                <xm:f>1</xm:f>
              </x14:cfvo>
              <x14:negativeFillColor rgb="FFFF0000"/>
              <x14:axisColor rgb="FF000000"/>
            </x14:dataBar>
          </x14:cfRule>
          <xm:sqref>L53</xm:sqref>
        </x14:conditionalFormatting>
        <x14:conditionalFormatting xmlns:xm="http://schemas.microsoft.com/office/excel/2006/main">
          <x14:cfRule type="dataBar" id="{5C8F8B70-7295-4136-A818-B49FCF78BE85}">
            <x14:dataBar minLength="0" maxLength="100" gradient="0">
              <x14:cfvo type="autoMin"/>
              <x14:cfvo type="num">
                <xm:f>1</xm:f>
              </x14:cfvo>
              <x14:negativeFillColor rgb="FFFF0000"/>
              <x14:axisColor rgb="FF000000"/>
            </x14:dataBar>
          </x14:cfRule>
          <xm:sqref>E94:E97</xm:sqref>
        </x14:conditionalFormatting>
        <x14:conditionalFormatting xmlns:xm="http://schemas.microsoft.com/office/excel/2006/main">
          <x14:cfRule type="dataBar" id="{B85FCFFB-5BC6-48F2-BA39-C716C7A7D59A}">
            <x14:dataBar minLength="0" maxLength="100" gradient="0">
              <x14:cfvo type="autoMin"/>
              <x14:cfvo type="num">
                <xm:f>1</xm:f>
              </x14:cfvo>
              <x14:negativeFillColor rgb="FFFF0000"/>
              <x14:axisColor rgb="FF000000"/>
            </x14:dataBar>
          </x14:cfRule>
          <xm:sqref>F96:F97</xm:sqref>
        </x14:conditionalFormatting>
        <x14:conditionalFormatting xmlns:xm="http://schemas.microsoft.com/office/excel/2006/main">
          <x14:cfRule type="dataBar" id="{A522A3E8-C064-4D0E-896D-2594A770C284}">
            <x14:dataBar minLength="0" maxLength="100" gradient="0">
              <x14:cfvo type="autoMin"/>
              <x14:cfvo type="num">
                <xm:f>1</xm:f>
              </x14:cfvo>
              <x14:negativeFillColor rgb="FFFF0000"/>
              <x14:axisColor rgb="FF000000"/>
            </x14:dataBar>
          </x14:cfRule>
          <xm:sqref>G94:G97</xm:sqref>
        </x14:conditionalFormatting>
        <x14:conditionalFormatting xmlns:xm="http://schemas.microsoft.com/office/excel/2006/main">
          <x14:cfRule type="dataBar" id="{77C56F94-E8AC-4719-9462-60603D631314}">
            <x14:dataBar minLength="0" maxLength="100" gradient="0">
              <x14:cfvo type="autoMin"/>
              <x14:cfvo type="num">
                <xm:f>1</xm:f>
              </x14:cfvo>
              <x14:negativeFillColor rgb="FFFF0000"/>
              <x14:axisColor rgb="FF000000"/>
            </x14:dataBar>
          </x14:cfRule>
          <xm:sqref>C94:D95</xm:sqref>
        </x14:conditionalFormatting>
        <x14:conditionalFormatting xmlns:xm="http://schemas.microsoft.com/office/excel/2006/main">
          <x14:cfRule type="dataBar" id="{DE53E41C-72D7-4950-BD4C-883C78246E99}">
            <x14:dataBar minLength="0" maxLength="100" gradient="0">
              <x14:cfvo type="autoMin"/>
              <x14:cfvo type="num">
                <xm:f>1</xm:f>
              </x14:cfvo>
              <x14:negativeFillColor rgb="FFFF0000"/>
              <x14:axisColor rgb="FF000000"/>
            </x14:dataBar>
          </x14:cfRule>
          <xm:sqref>D98</xm:sqref>
        </x14:conditionalFormatting>
        <x14:conditionalFormatting xmlns:xm="http://schemas.microsoft.com/office/excel/2006/main">
          <x14:cfRule type="dataBar" id="{5C2C1600-5858-4FD0-9CAB-1389AAC57D42}">
            <x14:dataBar minLength="0" maxLength="100" gradient="0">
              <x14:cfvo type="autoMin"/>
              <x14:cfvo type="num">
                <xm:f>1</xm:f>
              </x14:cfvo>
              <x14:negativeFillColor rgb="FFFF0000"/>
              <x14:axisColor rgb="FF000000"/>
            </x14:dataBar>
          </x14:cfRule>
          <xm:sqref>E98:G98</xm:sqref>
        </x14:conditionalFormatting>
        <x14:conditionalFormatting xmlns:xm="http://schemas.microsoft.com/office/excel/2006/main">
          <x14:cfRule type="dataBar" id="{B21AC1D9-4835-46EC-A13B-D39766FE169A}">
            <x14:dataBar minLength="0" maxLength="100" gradient="0">
              <x14:cfvo type="autoMin"/>
              <x14:cfvo type="num">
                <xm:f>1</xm:f>
              </x14:cfvo>
              <x14:negativeFillColor rgb="FFFF0000"/>
              <x14:axisColor rgb="FF000000"/>
            </x14:dataBar>
          </x14:cfRule>
          <xm:sqref>C96</xm:sqref>
        </x14:conditionalFormatting>
        <x14:conditionalFormatting xmlns:xm="http://schemas.microsoft.com/office/excel/2006/main">
          <x14:cfRule type="dataBar" id="{A09E35A3-24D6-46C0-B83A-2EB17E3FA480}">
            <x14:dataBar minLength="0" maxLength="100" gradient="0">
              <x14:cfvo type="autoMin"/>
              <x14:cfvo type="num">
                <xm:f>1</xm:f>
              </x14:cfvo>
              <x14:negativeFillColor rgb="FFFF0000"/>
              <x14:axisColor rgb="FF000000"/>
            </x14:dataBar>
          </x14:cfRule>
          <xm:sqref>C97</xm:sqref>
        </x14:conditionalFormatting>
        <x14:conditionalFormatting xmlns:xm="http://schemas.microsoft.com/office/excel/2006/main">
          <x14:cfRule type="dataBar" id="{A627040C-5D10-4A0F-965D-C20BEC121581}">
            <x14:dataBar minLength="0" maxLength="100" gradient="0">
              <x14:cfvo type="autoMin"/>
              <x14:cfvo type="num">
                <xm:f>1</xm:f>
              </x14:cfvo>
              <x14:negativeFillColor rgb="FFFF0000"/>
              <x14:axisColor rgb="FF000000"/>
            </x14:dataBar>
          </x14:cfRule>
          <xm:sqref>D96</xm:sqref>
        </x14:conditionalFormatting>
        <x14:conditionalFormatting xmlns:xm="http://schemas.microsoft.com/office/excel/2006/main">
          <x14:cfRule type="dataBar" id="{B52F04BB-9C11-451E-AAE5-68BFCAA0CDF8}">
            <x14:dataBar minLength="0" maxLength="100" gradient="0">
              <x14:cfvo type="autoMin"/>
              <x14:cfvo type="num">
                <xm:f>1</xm:f>
              </x14:cfvo>
              <x14:negativeFillColor rgb="FFFF0000"/>
              <x14:axisColor rgb="FF000000"/>
            </x14:dataBar>
          </x14:cfRule>
          <xm:sqref>D97</xm:sqref>
        </x14:conditionalFormatting>
        <x14:conditionalFormatting xmlns:xm="http://schemas.microsoft.com/office/excel/2006/main">
          <x14:cfRule type="dataBar" id="{9C0F13A0-6114-430C-B16F-8D643A9ECE67}">
            <x14:dataBar minLength="0" maxLength="100" gradient="0">
              <x14:cfvo type="autoMin"/>
              <x14:cfvo type="num">
                <xm:f>1</xm:f>
              </x14:cfvo>
              <x14:negativeFillColor rgb="FFFF0000"/>
              <x14:axisColor rgb="FF000000"/>
            </x14:dataBar>
          </x14:cfRule>
          <xm:sqref>F94</xm:sqref>
        </x14:conditionalFormatting>
        <x14:conditionalFormatting xmlns:xm="http://schemas.microsoft.com/office/excel/2006/main">
          <x14:cfRule type="dataBar" id="{1D7B375F-729B-4143-A451-1B138871F0D2}">
            <x14:dataBar minLength="0" maxLength="100" gradient="0">
              <x14:cfvo type="autoMin"/>
              <x14:cfvo type="num">
                <xm:f>1</xm:f>
              </x14:cfvo>
              <x14:negativeFillColor rgb="FFFF0000"/>
              <x14:axisColor rgb="FF000000"/>
            </x14:dataBar>
          </x14:cfRule>
          <xm:sqref>F95</xm:sqref>
        </x14:conditionalFormatting>
        <x14:conditionalFormatting xmlns:xm="http://schemas.microsoft.com/office/excel/2006/main">
          <x14:cfRule type="dataBar" id="{D1CFC072-1096-4363-A0CD-84A4A09DEDF3}">
            <x14:dataBar minLength="0" maxLength="100" gradient="0">
              <x14:cfvo type="autoMin"/>
              <x14:cfvo type="num">
                <xm:f>1</xm:f>
              </x14:cfvo>
              <x14:negativeFillColor rgb="FFFF0000"/>
              <x14:axisColor rgb="FF000000"/>
            </x14:dataBar>
          </x14:cfRule>
          <xm:sqref>J95</xm:sqref>
        </x14:conditionalFormatting>
        <x14:conditionalFormatting xmlns:xm="http://schemas.microsoft.com/office/excel/2006/main">
          <x14:cfRule type="dataBar" id="{01290FBD-1AD5-4C12-9A5A-CAEC94B3EE16}">
            <x14:dataBar minLength="0" maxLength="100" gradient="0">
              <x14:cfvo type="autoMin"/>
              <x14:cfvo type="num">
                <xm:f>1</xm:f>
              </x14:cfvo>
              <x14:negativeFillColor rgb="FFFF0000"/>
              <x14:axisColor rgb="FF000000"/>
            </x14:dataBar>
          </x14:cfRule>
          <xm:sqref>K95</xm:sqref>
        </x14:conditionalFormatting>
        <x14:conditionalFormatting xmlns:xm="http://schemas.microsoft.com/office/excel/2006/main">
          <x14:cfRule type="dataBar" id="{B14711B3-1C70-4C7B-AD48-B36EFDC56DF8}">
            <x14:dataBar minLength="0" maxLength="100" gradient="0">
              <x14:cfvo type="autoMin"/>
              <x14:cfvo type="num">
                <xm:f>1</xm:f>
              </x14:cfvo>
              <x14:negativeFillColor rgb="FFFF0000"/>
              <x14:axisColor rgb="FF000000"/>
            </x14:dataBar>
          </x14:cfRule>
          <xm:sqref>L95</xm:sqref>
        </x14:conditionalFormatting>
        <x14:conditionalFormatting xmlns:xm="http://schemas.microsoft.com/office/excel/2006/main">
          <x14:cfRule type="dataBar" id="{0474994F-B0E1-4887-81BB-264FF858620B}">
            <x14:dataBar minLength="0" maxLength="100" gradient="0">
              <x14:cfvo type="autoMin"/>
              <x14:cfvo type="num">
                <xm:f>1</xm:f>
              </x14:cfvo>
              <x14:negativeFillColor rgb="FFFF0000"/>
              <x14:axisColor rgb="FF000000"/>
            </x14:dataBar>
          </x14:cfRule>
          <xm:sqref>K99</xm:sqref>
        </x14:conditionalFormatting>
        <x14:conditionalFormatting xmlns:xm="http://schemas.microsoft.com/office/excel/2006/main">
          <x14:cfRule type="dataBar" id="{9A65C44E-609E-4D57-99EE-2D87B8143D95}">
            <x14:dataBar minLength="0" maxLength="100" gradient="0">
              <x14:cfvo type="autoMin"/>
              <x14:cfvo type="num">
                <xm:f>1</xm:f>
              </x14:cfvo>
              <x14:negativeFillColor rgb="FFFF0000"/>
              <x14:axisColor rgb="FF000000"/>
            </x14:dataBar>
          </x14:cfRule>
          <xm:sqref>L99</xm:sqref>
        </x14:conditionalFormatting>
        <x14:conditionalFormatting xmlns:xm="http://schemas.microsoft.com/office/excel/2006/main">
          <x14:cfRule type="dataBar" id="{CE34B10E-5235-434F-A3AD-182F7200110D}">
            <x14:dataBar minLength="0" maxLength="100" gradient="0">
              <x14:cfvo type="autoMin"/>
              <x14:cfvo type="num">
                <xm:f>1</xm:f>
              </x14:cfvo>
              <x14:negativeFillColor rgb="FFFF0000"/>
              <x14:axisColor rgb="FF000000"/>
            </x14:dataBar>
          </x14:cfRule>
          <xm:sqref>J99</xm:sqref>
        </x14:conditionalFormatting>
        <x14:conditionalFormatting xmlns:xm="http://schemas.microsoft.com/office/excel/2006/main">
          <x14:cfRule type="dataBar" id="{469D7DD5-EF82-4205-8E50-0B8979538EB1}">
            <x14:dataBar minLength="0" maxLength="100" gradient="0">
              <x14:cfvo type="autoMin"/>
              <x14:cfvo type="num">
                <xm:f>1</xm:f>
              </x14:cfvo>
              <x14:negativeFillColor rgb="FFFF0000"/>
              <x14:axisColor rgb="FF000000"/>
            </x14:dataBar>
          </x14:cfRule>
          <xm:sqref>C98</xm:sqref>
        </x14:conditionalFormatting>
        <x14:conditionalFormatting xmlns:xm="http://schemas.microsoft.com/office/excel/2006/main">
          <x14:cfRule type="dataBar" id="{F660B44D-5C96-44AC-93A7-AB530EE65049}">
            <x14:dataBar minLength="0" maxLength="100" gradient="0">
              <x14:cfvo type="autoMin"/>
              <x14:cfvo type="num">
                <xm:f>1</xm:f>
              </x14:cfvo>
              <x14:negativeFillColor rgb="FFFF0000"/>
              <x14:axisColor rgb="FF000000"/>
            </x14:dataBar>
          </x14:cfRule>
          <xm:sqref>V3</xm:sqref>
        </x14:conditionalFormatting>
        <x14:conditionalFormatting xmlns:xm="http://schemas.microsoft.com/office/excel/2006/main">
          <x14:cfRule type="dataBar" id="{495D821C-E042-429C-884B-52A63B1153B8}">
            <x14:dataBar minLength="0" maxLength="100" gradient="0">
              <x14:cfvo type="autoMin"/>
              <x14:cfvo type="num">
                <xm:f>1</xm:f>
              </x14:cfvo>
              <x14:negativeFillColor rgb="FFFF0000"/>
              <x14:axisColor rgb="FF000000"/>
            </x14:dataBar>
          </x14:cfRule>
          <xm:sqref>V4</xm:sqref>
        </x14:conditionalFormatting>
        <x14:conditionalFormatting xmlns:xm="http://schemas.microsoft.com/office/excel/2006/main">
          <x14:cfRule type="dataBar" id="{047FEA9F-3B21-43E3-933A-5E7DEC33BE94}">
            <x14:dataBar minLength="0" maxLength="100" gradient="0">
              <x14:cfvo type="autoMin"/>
              <x14:cfvo type="num">
                <xm:f>1</xm:f>
              </x14:cfvo>
              <x14:negativeFillColor rgb="FFFF0000"/>
              <x14:axisColor rgb="FF000000"/>
            </x14:dataBar>
          </x14:cfRule>
          <xm:sqref>V5</xm:sqref>
        </x14:conditionalFormatting>
        <x14:conditionalFormatting xmlns:xm="http://schemas.microsoft.com/office/excel/2006/main">
          <x14:cfRule type="dataBar" id="{FAC2D7D0-B0D0-4C1A-82C8-00C08EFE347C}">
            <x14:dataBar minLength="0" maxLength="100" gradient="0">
              <x14:cfvo type="autoMin"/>
              <x14:cfvo type="num">
                <xm:f>1</xm:f>
              </x14:cfvo>
              <x14:negativeFillColor rgb="FFFF0000"/>
              <x14:axisColor rgb="FF000000"/>
            </x14:dataBar>
          </x14:cfRule>
          <xm:sqref>T3:U3</xm:sqref>
        </x14:conditionalFormatting>
        <x14:conditionalFormatting xmlns:xm="http://schemas.microsoft.com/office/excel/2006/main">
          <x14:cfRule type="dataBar" id="{23B566C8-C2A8-4B53-90ED-2E60E02AF426}">
            <x14:dataBar minLength="0" maxLength="100" gradient="0">
              <x14:cfvo type="autoMin"/>
              <x14:cfvo type="num">
                <xm:f>1</xm:f>
              </x14:cfvo>
              <x14:negativeFillColor rgb="FFFF0000"/>
              <x14:axisColor rgb="FF000000"/>
            </x14:dataBar>
          </x14:cfRule>
          <xm:sqref>T4:U4</xm:sqref>
        </x14:conditionalFormatting>
        <x14:conditionalFormatting xmlns:xm="http://schemas.microsoft.com/office/excel/2006/main">
          <x14:cfRule type="dataBar" id="{8A87C6FB-F41D-4762-AA88-C7DBDBF7D35D}">
            <x14:dataBar minLength="0" maxLength="100" gradient="0">
              <x14:cfvo type="autoMin"/>
              <x14:cfvo type="num">
                <xm:f>1</xm:f>
              </x14:cfvo>
              <x14:negativeFillColor rgb="FFFF0000"/>
              <x14:axisColor rgb="FF000000"/>
            </x14:dataBar>
          </x14:cfRule>
          <xm:sqref>T5:U5</xm:sqref>
        </x14:conditionalFormatting>
        <x14:conditionalFormatting xmlns:xm="http://schemas.microsoft.com/office/excel/2006/main">
          <x14:cfRule type="dataBar" id="{F3F71D1D-B203-4327-946E-0BDFD8AABA00}">
            <x14:dataBar minLength="0" maxLength="100" gradient="0">
              <x14:cfvo type="autoMin"/>
              <x14:cfvo type="num">
                <xm:f>1</xm:f>
              </x14:cfvo>
              <x14:negativeFillColor rgb="FFFF0000"/>
              <x14:axisColor rgb="FF000000"/>
            </x14:dataBar>
          </x14:cfRule>
          <xm:sqref>E141:E144</xm:sqref>
        </x14:conditionalFormatting>
        <x14:conditionalFormatting xmlns:xm="http://schemas.microsoft.com/office/excel/2006/main">
          <x14:cfRule type="dataBar" id="{857C1D93-25C9-42EA-97D4-83475FBDB937}">
            <x14:dataBar minLength="0" maxLength="100" gradient="0">
              <x14:cfvo type="autoMin"/>
              <x14:cfvo type="num">
                <xm:f>1</xm:f>
              </x14:cfvo>
              <x14:negativeFillColor rgb="FFFF0000"/>
              <x14:axisColor rgb="FF000000"/>
            </x14:dataBar>
          </x14:cfRule>
          <xm:sqref>F143:F144</xm:sqref>
        </x14:conditionalFormatting>
        <x14:conditionalFormatting xmlns:xm="http://schemas.microsoft.com/office/excel/2006/main">
          <x14:cfRule type="dataBar" id="{C2EB694A-E0DF-42EC-8387-40FB506FA917}">
            <x14:dataBar minLength="0" maxLength="100" gradient="0">
              <x14:cfvo type="autoMin"/>
              <x14:cfvo type="num">
                <xm:f>1</xm:f>
              </x14:cfvo>
              <x14:negativeFillColor rgb="FFFF0000"/>
              <x14:axisColor rgb="FF000000"/>
            </x14:dataBar>
          </x14:cfRule>
          <xm:sqref>G141:G144</xm:sqref>
        </x14:conditionalFormatting>
        <x14:conditionalFormatting xmlns:xm="http://schemas.microsoft.com/office/excel/2006/main">
          <x14:cfRule type="dataBar" id="{E52C1500-57C6-4728-8D6B-3AEBB3987DC3}">
            <x14:dataBar minLength="0" maxLength="100" gradient="0">
              <x14:cfvo type="autoMin"/>
              <x14:cfvo type="num">
                <xm:f>1</xm:f>
              </x14:cfvo>
              <x14:negativeFillColor rgb="FFFF0000"/>
              <x14:axisColor rgb="FF000000"/>
            </x14:dataBar>
          </x14:cfRule>
          <xm:sqref>C141:D144</xm:sqref>
        </x14:conditionalFormatting>
        <x14:conditionalFormatting xmlns:xm="http://schemas.microsoft.com/office/excel/2006/main">
          <x14:cfRule type="dataBar" id="{CA0C5AE2-8D17-4E66-A039-5134D1F445E6}">
            <x14:dataBar minLength="0" maxLength="100" gradient="0">
              <x14:cfvo type="autoMin"/>
              <x14:cfvo type="num">
                <xm:f>1</xm:f>
              </x14:cfvo>
              <x14:negativeFillColor rgb="FFFF0000"/>
              <x14:axisColor rgb="FF000000"/>
            </x14:dataBar>
          </x14:cfRule>
          <xm:sqref>D145</xm:sqref>
        </x14:conditionalFormatting>
        <x14:conditionalFormatting xmlns:xm="http://schemas.microsoft.com/office/excel/2006/main">
          <x14:cfRule type="dataBar" id="{07906B51-6999-4A5D-A12D-D1D35669FA77}">
            <x14:dataBar minLength="0" maxLength="100" gradient="0">
              <x14:cfvo type="autoMin"/>
              <x14:cfvo type="num">
                <xm:f>1</xm:f>
              </x14:cfvo>
              <x14:negativeFillColor rgb="FFFF0000"/>
              <x14:axisColor rgb="FF000000"/>
            </x14:dataBar>
          </x14:cfRule>
          <xm:sqref>E145:G145</xm:sqref>
        </x14:conditionalFormatting>
        <x14:conditionalFormatting xmlns:xm="http://schemas.microsoft.com/office/excel/2006/main">
          <x14:cfRule type="dataBar" id="{BECF245C-C88A-4BA7-8CFF-8C60FAA45517}">
            <x14:dataBar minLength="0" maxLength="100" gradient="0">
              <x14:cfvo type="autoMin"/>
              <x14:cfvo type="num">
                <xm:f>1</xm:f>
              </x14:cfvo>
              <x14:negativeFillColor rgb="FFFF0000"/>
              <x14:axisColor rgb="FF000000"/>
            </x14:dataBar>
          </x14:cfRule>
          <xm:sqref>F141:F142</xm:sqref>
        </x14:conditionalFormatting>
        <x14:conditionalFormatting xmlns:xm="http://schemas.microsoft.com/office/excel/2006/main">
          <x14:cfRule type="dataBar" id="{88841BBF-FFFE-46F8-91D4-36EF25C26816}">
            <x14:dataBar minLength="0" maxLength="100" gradient="0">
              <x14:cfvo type="autoMin"/>
              <x14:cfvo type="num">
                <xm:f>1</xm:f>
              </x14:cfvo>
              <x14:negativeFillColor rgb="FFFF0000"/>
              <x14:axisColor rgb="FF000000"/>
            </x14:dataBar>
          </x14:cfRule>
          <xm:sqref>J142</xm:sqref>
        </x14:conditionalFormatting>
        <x14:conditionalFormatting xmlns:xm="http://schemas.microsoft.com/office/excel/2006/main">
          <x14:cfRule type="dataBar" id="{A75618EE-63E3-4827-AAD2-73029CA2E197}">
            <x14:dataBar minLength="0" maxLength="100" gradient="0">
              <x14:cfvo type="autoMin"/>
              <x14:cfvo type="num">
                <xm:f>1</xm:f>
              </x14:cfvo>
              <x14:negativeFillColor rgb="FFFF0000"/>
              <x14:axisColor rgb="FF000000"/>
            </x14:dataBar>
          </x14:cfRule>
          <xm:sqref>K142</xm:sqref>
        </x14:conditionalFormatting>
        <x14:conditionalFormatting xmlns:xm="http://schemas.microsoft.com/office/excel/2006/main">
          <x14:cfRule type="dataBar" id="{78B7AB7E-B76C-4583-9861-2C2FDC25664C}">
            <x14:dataBar minLength="0" maxLength="100" gradient="0">
              <x14:cfvo type="autoMin"/>
              <x14:cfvo type="num">
                <xm:f>1</xm:f>
              </x14:cfvo>
              <x14:negativeFillColor rgb="FFFF0000"/>
              <x14:axisColor rgb="FF000000"/>
            </x14:dataBar>
          </x14:cfRule>
          <xm:sqref>L142</xm:sqref>
        </x14:conditionalFormatting>
        <x14:conditionalFormatting xmlns:xm="http://schemas.microsoft.com/office/excel/2006/main">
          <x14:cfRule type="dataBar" id="{31533412-9126-488E-A5FE-55E3A8A10B69}">
            <x14:dataBar minLength="0" maxLength="100" gradient="0">
              <x14:cfvo type="autoMin"/>
              <x14:cfvo type="num">
                <xm:f>1</xm:f>
              </x14:cfvo>
              <x14:negativeFillColor rgb="FFFF0000"/>
              <x14:axisColor rgb="FF000000"/>
            </x14:dataBar>
          </x14:cfRule>
          <xm:sqref>K146</xm:sqref>
        </x14:conditionalFormatting>
        <x14:conditionalFormatting xmlns:xm="http://schemas.microsoft.com/office/excel/2006/main">
          <x14:cfRule type="dataBar" id="{A5CA0FB9-6E53-42F6-B2DA-9FB6087B97AD}">
            <x14:dataBar minLength="0" maxLength="100" gradient="0">
              <x14:cfvo type="autoMin"/>
              <x14:cfvo type="num">
                <xm:f>1</xm:f>
              </x14:cfvo>
              <x14:negativeFillColor rgb="FFFF0000"/>
              <x14:axisColor rgb="FF000000"/>
            </x14:dataBar>
          </x14:cfRule>
          <xm:sqref>L146</xm:sqref>
        </x14:conditionalFormatting>
        <x14:conditionalFormatting xmlns:xm="http://schemas.microsoft.com/office/excel/2006/main">
          <x14:cfRule type="dataBar" id="{ECE1F1D5-AA6C-445B-B98F-372C6EAE7C4E}">
            <x14:dataBar minLength="0" maxLength="100" gradient="0">
              <x14:cfvo type="autoMin"/>
              <x14:cfvo type="num">
                <xm:f>1</xm:f>
              </x14:cfvo>
              <x14:negativeFillColor rgb="FFFF0000"/>
              <x14:axisColor rgb="FF000000"/>
            </x14:dataBar>
          </x14:cfRule>
          <xm:sqref>J146</xm:sqref>
        </x14:conditionalFormatting>
        <x14:conditionalFormatting xmlns:xm="http://schemas.microsoft.com/office/excel/2006/main">
          <x14:cfRule type="dataBar" id="{4D9F77A8-2D88-4039-8F33-9DCAB9F94D99}">
            <x14:dataBar minLength="0" maxLength="100" gradient="0">
              <x14:cfvo type="autoMin"/>
              <x14:cfvo type="num">
                <xm:f>1</xm:f>
              </x14:cfvo>
              <x14:negativeFillColor rgb="FFFF0000"/>
              <x14:axisColor rgb="FF000000"/>
            </x14:dataBar>
          </x14:cfRule>
          <xm:sqref>C145</xm:sqref>
        </x14:conditionalFormatting>
        <x14:conditionalFormatting xmlns:xm="http://schemas.microsoft.com/office/excel/2006/main">
          <x14:cfRule type="dataBar" id="{8E831FDF-96B9-435C-B34C-27D0EEB46639}">
            <x14:dataBar minLength="0" maxLength="100" gradient="0">
              <x14:cfvo type="autoMin"/>
              <x14:cfvo type="num">
                <xm:f>1</xm:f>
              </x14:cfvo>
              <x14:negativeFillColor rgb="FFFF0000"/>
              <x14:axisColor rgb="FF000000"/>
            </x14:dataBar>
          </x14:cfRule>
          <xm:sqref>S3</xm:sqref>
        </x14:conditionalFormatting>
        <x14:conditionalFormatting xmlns:xm="http://schemas.microsoft.com/office/excel/2006/main">
          <x14:cfRule type="dataBar" id="{8C9F424F-124A-49A6-8BA9-4E6BDE46F9A3}">
            <x14:dataBar minLength="0" maxLength="100" gradient="0">
              <x14:cfvo type="autoMin"/>
              <x14:cfvo type="num">
                <xm:f>1</xm:f>
              </x14:cfvo>
              <x14:negativeFillColor rgb="FFFF0000"/>
              <x14:axisColor rgb="FF000000"/>
            </x14:dataBar>
          </x14:cfRule>
          <xm:sqref>S4</xm:sqref>
        </x14:conditionalFormatting>
        <x14:conditionalFormatting xmlns:xm="http://schemas.microsoft.com/office/excel/2006/main">
          <x14:cfRule type="dataBar" id="{9FEAE7E4-6201-46F2-A18F-A96D9C36552E}">
            <x14:dataBar minLength="0" maxLength="100" gradient="0">
              <x14:cfvo type="autoMin"/>
              <x14:cfvo type="num">
                <xm:f>1</xm:f>
              </x14:cfvo>
              <x14:negativeFillColor rgb="FFFF0000"/>
              <x14:axisColor rgb="FF000000"/>
            </x14:dataBar>
          </x14:cfRule>
          <xm:sqref>S5</xm:sqref>
        </x14:conditionalFormatting>
        <x14:conditionalFormatting xmlns:xm="http://schemas.microsoft.com/office/excel/2006/main">
          <x14:cfRule type="dataBar" id="{C6E4FC54-4384-634B-A57E-374732582EE9}">
            <x14:dataBar minLength="0" maxLength="100" gradient="0">
              <x14:cfvo type="autoMin"/>
              <x14:cfvo type="num">
                <xm:f>1</xm:f>
              </x14:cfvo>
              <x14:negativeFillColor rgb="FFFF0000"/>
              <x14:axisColor rgb="FF000000"/>
            </x14:dataBar>
          </x14:cfRule>
          <xm:sqref>AD3:AE5</xm:sqref>
        </x14:conditionalFormatting>
        <x14:conditionalFormatting xmlns:xm="http://schemas.microsoft.com/office/excel/2006/main">
          <x14:cfRule type="dataBar" id="{340D5164-33E3-0544-887E-3DF01BFB7BF1}">
            <x14:dataBar minLength="0" maxLength="100" gradient="0">
              <x14:cfvo type="autoMin"/>
              <x14:cfvo type="num">
                <xm:f>1</xm:f>
              </x14:cfvo>
              <x14:negativeFillColor rgb="FFFF0000"/>
              <x14:axisColor rgb="FF000000"/>
            </x14:dataBar>
          </x14:cfRule>
          <xm:sqref>AA3:AC5</xm:sqref>
        </x14:conditionalFormatting>
        <x14:conditionalFormatting xmlns:xm="http://schemas.microsoft.com/office/excel/2006/main">
          <x14:cfRule type="dataBar" id="{3109E266-146B-9D44-8D20-E71755262DF3}">
            <x14:dataBar minLength="0" maxLength="100" gradient="0">
              <x14:cfvo type="autoMin"/>
              <x14:cfvo type="num">
                <xm:f>1</xm:f>
              </x14:cfvo>
              <x14:negativeFillColor rgb="FFFF0000"/>
              <x14:axisColor rgb="FF000000"/>
            </x14:dataBar>
          </x14:cfRule>
          <xm:sqref>J154</xm:sqref>
        </x14:conditionalFormatting>
        <x14:conditionalFormatting xmlns:xm="http://schemas.microsoft.com/office/excel/2006/main">
          <x14:cfRule type="dataBar" id="{F4B80892-398F-CC4F-B55D-BCF400A91C0C}">
            <x14:dataBar minLength="0" maxLength="100" gradient="0">
              <x14:cfvo type="autoMin"/>
              <x14:cfvo type="num">
                <xm:f>1</xm:f>
              </x14:cfvo>
              <x14:negativeFillColor rgb="FFFF0000"/>
              <x14:axisColor rgb="FF000000"/>
            </x14:dataBar>
          </x14:cfRule>
          <xm:sqref>K154</xm:sqref>
        </x14:conditionalFormatting>
        <x14:conditionalFormatting xmlns:xm="http://schemas.microsoft.com/office/excel/2006/main">
          <x14:cfRule type="dataBar" id="{46EC0C3D-546B-D94F-B4EB-9DC237291682}">
            <x14:dataBar minLength="0" maxLength="100" gradient="0">
              <x14:cfvo type="autoMin"/>
              <x14:cfvo type="num">
                <xm:f>1</xm:f>
              </x14:cfvo>
              <x14:negativeFillColor rgb="FFFF0000"/>
              <x14:axisColor rgb="FF000000"/>
            </x14:dataBar>
          </x14:cfRule>
          <xm:sqref>L154</xm:sqref>
        </x14:conditionalFormatting>
        <x14:conditionalFormatting xmlns:xm="http://schemas.microsoft.com/office/excel/2006/main">
          <x14:cfRule type="dataBar" id="{621B12F6-D95F-7D4D-9A09-00D54C340ED1}">
            <x14:dataBar minLength="0" maxLength="100" gradient="0">
              <x14:cfvo type="autoMin"/>
              <x14:cfvo type="num">
                <xm:f>1</xm:f>
              </x14:cfvo>
              <x14:negativeFillColor rgb="FFFF0000"/>
              <x14:axisColor rgb="FF000000"/>
            </x14:dataBar>
          </x14:cfRule>
          <xm:sqref>K158</xm:sqref>
        </x14:conditionalFormatting>
        <x14:conditionalFormatting xmlns:xm="http://schemas.microsoft.com/office/excel/2006/main">
          <x14:cfRule type="dataBar" id="{F12ABE15-9B67-F040-A351-9F218988DFB7}">
            <x14:dataBar minLength="0" maxLength="100" gradient="0">
              <x14:cfvo type="autoMin"/>
              <x14:cfvo type="num">
                <xm:f>1</xm:f>
              </x14:cfvo>
              <x14:negativeFillColor rgb="FFFF0000"/>
              <x14:axisColor rgb="FF000000"/>
            </x14:dataBar>
          </x14:cfRule>
          <xm:sqref>L158</xm:sqref>
        </x14:conditionalFormatting>
        <x14:conditionalFormatting xmlns:xm="http://schemas.microsoft.com/office/excel/2006/main">
          <x14:cfRule type="dataBar" id="{2888638F-5B08-7743-A848-C947A93364E0}">
            <x14:dataBar minLength="0" maxLength="100" gradient="0">
              <x14:cfvo type="autoMin"/>
              <x14:cfvo type="num">
                <xm:f>1</xm:f>
              </x14:cfvo>
              <x14:negativeFillColor rgb="FFFF0000"/>
              <x14:axisColor rgb="FF000000"/>
            </x14:dataBar>
          </x14:cfRule>
          <xm:sqref>J158</xm:sqref>
        </x14:conditionalFormatting>
        <x14:conditionalFormatting xmlns:xm="http://schemas.microsoft.com/office/excel/2006/main">
          <x14:cfRule type="dataBar" id="{E87BEE4E-BE95-4808-A538-A25A5B5459D7}">
            <x14:dataBar minLength="0" maxLength="100" gradient="0">
              <x14:cfvo type="autoMin"/>
              <x14:cfvo type="num">
                <xm:f>1</xm:f>
              </x14:cfvo>
              <x14:negativeFillColor rgb="FFFF0000"/>
              <x14:axisColor rgb="FF000000"/>
            </x14:dataBar>
          </x14:cfRule>
          <xm:sqref>J163</xm:sqref>
        </x14:conditionalFormatting>
        <x14:conditionalFormatting xmlns:xm="http://schemas.microsoft.com/office/excel/2006/main">
          <x14:cfRule type="dataBar" id="{8CCC05AF-81C3-4CCE-8F4B-DF365569F2C3}">
            <x14:dataBar minLength="0" maxLength="100" gradient="0">
              <x14:cfvo type="autoMin"/>
              <x14:cfvo type="num">
                <xm:f>1</xm:f>
              </x14:cfvo>
              <x14:negativeFillColor rgb="FFFF0000"/>
              <x14:axisColor rgb="FF000000"/>
            </x14:dataBar>
          </x14:cfRule>
          <xm:sqref>K163</xm:sqref>
        </x14:conditionalFormatting>
        <x14:conditionalFormatting xmlns:xm="http://schemas.microsoft.com/office/excel/2006/main">
          <x14:cfRule type="dataBar" id="{0859B817-CC7A-431F-BDB5-DE56AF260C06}">
            <x14:dataBar minLength="0" maxLength="100" gradient="0">
              <x14:cfvo type="autoMin"/>
              <x14:cfvo type="num">
                <xm:f>1</xm:f>
              </x14:cfvo>
              <x14:negativeFillColor rgb="FFFF0000"/>
              <x14:axisColor rgb="FF000000"/>
            </x14:dataBar>
          </x14:cfRule>
          <xm:sqref>L163</xm:sqref>
        </x14:conditionalFormatting>
        <x14:conditionalFormatting xmlns:xm="http://schemas.microsoft.com/office/excel/2006/main">
          <x14:cfRule type="dataBar" id="{075FC229-21A4-4059-8FED-8167FB6F99FE}">
            <x14:dataBar minLength="0" maxLength="100" gradient="0">
              <x14:cfvo type="autoMin"/>
              <x14:cfvo type="num">
                <xm:f>1</xm:f>
              </x14:cfvo>
              <x14:negativeFillColor rgb="FFFF0000"/>
              <x14:axisColor rgb="FF000000"/>
            </x14:dataBar>
          </x14:cfRule>
          <xm:sqref>K167</xm:sqref>
        </x14:conditionalFormatting>
        <x14:conditionalFormatting xmlns:xm="http://schemas.microsoft.com/office/excel/2006/main">
          <x14:cfRule type="dataBar" id="{62517FFD-CFA1-476A-96B7-B28E9DEBE9F6}">
            <x14:dataBar minLength="0" maxLength="100" gradient="0">
              <x14:cfvo type="autoMin"/>
              <x14:cfvo type="num">
                <xm:f>1</xm:f>
              </x14:cfvo>
              <x14:negativeFillColor rgb="FFFF0000"/>
              <x14:axisColor rgb="FF000000"/>
            </x14:dataBar>
          </x14:cfRule>
          <xm:sqref>L167</xm:sqref>
        </x14:conditionalFormatting>
        <x14:conditionalFormatting xmlns:xm="http://schemas.microsoft.com/office/excel/2006/main">
          <x14:cfRule type="dataBar" id="{1FFBBCBF-74EA-40DF-AD7E-C9E067CF3083}">
            <x14:dataBar minLength="0" maxLength="100" gradient="0">
              <x14:cfvo type="autoMin"/>
              <x14:cfvo type="num">
                <xm:f>1</xm:f>
              </x14:cfvo>
              <x14:negativeFillColor rgb="FFFF0000"/>
              <x14:axisColor rgb="FF000000"/>
            </x14:dataBar>
          </x14:cfRule>
          <xm:sqref>J167</xm:sqref>
        </x14:conditionalFormatting>
        <x14:conditionalFormatting xmlns:xm="http://schemas.microsoft.com/office/excel/2006/main">
          <x14:cfRule type="dataBar" id="{358AE11D-DFF2-4A43-B67B-D35AA0610977}">
            <x14:dataBar minLength="0" maxLength="100" gradient="0">
              <x14:cfvo type="autoMin"/>
              <x14:cfvo type="num">
                <xm:f>1</xm:f>
              </x14:cfvo>
              <x14:negativeFillColor rgb="FFFF0000"/>
              <x14:axisColor rgb="FF000000"/>
            </x14:dataBar>
          </x14:cfRule>
          <xm:sqref>J172</xm:sqref>
        </x14:conditionalFormatting>
        <x14:conditionalFormatting xmlns:xm="http://schemas.microsoft.com/office/excel/2006/main">
          <x14:cfRule type="dataBar" id="{C0C0CC0E-CFC0-4D84-96C4-6ACBCCE2EF13}">
            <x14:dataBar minLength="0" maxLength="100" gradient="0">
              <x14:cfvo type="autoMin"/>
              <x14:cfvo type="num">
                <xm:f>1</xm:f>
              </x14:cfvo>
              <x14:negativeFillColor rgb="FFFF0000"/>
              <x14:axisColor rgb="FF000000"/>
            </x14:dataBar>
          </x14:cfRule>
          <xm:sqref>K172</xm:sqref>
        </x14:conditionalFormatting>
        <x14:conditionalFormatting xmlns:xm="http://schemas.microsoft.com/office/excel/2006/main">
          <x14:cfRule type="dataBar" id="{899756D6-D7A4-4D32-B465-E29C529A44AE}">
            <x14:dataBar minLength="0" maxLength="100" gradient="0">
              <x14:cfvo type="autoMin"/>
              <x14:cfvo type="num">
                <xm:f>1</xm:f>
              </x14:cfvo>
              <x14:negativeFillColor rgb="FFFF0000"/>
              <x14:axisColor rgb="FF000000"/>
            </x14:dataBar>
          </x14:cfRule>
          <xm:sqref>L172</xm:sqref>
        </x14:conditionalFormatting>
        <x14:conditionalFormatting xmlns:xm="http://schemas.microsoft.com/office/excel/2006/main">
          <x14:cfRule type="dataBar" id="{DD5B9736-974B-458A-80F9-375D073A788E}">
            <x14:dataBar minLength="0" maxLength="100" gradient="0">
              <x14:cfvo type="autoMin"/>
              <x14:cfvo type="num">
                <xm:f>1</xm:f>
              </x14:cfvo>
              <x14:negativeFillColor rgb="FFFF0000"/>
              <x14:axisColor rgb="FF000000"/>
            </x14:dataBar>
          </x14:cfRule>
          <xm:sqref>K176</xm:sqref>
        </x14:conditionalFormatting>
        <x14:conditionalFormatting xmlns:xm="http://schemas.microsoft.com/office/excel/2006/main">
          <x14:cfRule type="dataBar" id="{5AD28D8C-3268-438A-88A5-60212B2ABD06}">
            <x14:dataBar minLength="0" maxLength="100" gradient="0">
              <x14:cfvo type="autoMin"/>
              <x14:cfvo type="num">
                <xm:f>1</xm:f>
              </x14:cfvo>
              <x14:negativeFillColor rgb="FFFF0000"/>
              <x14:axisColor rgb="FF000000"/>
            </x14:dataBar>
          </x14:cfRule>
          <xm:sqref>L176</xm:sqref>
        </x14:conditionalFormatting>
        <x14:conditionalFormatting xmlns:xm="http://schemas.microsoft.com/office/excel/2006/main">
          <x14:cfRule type="dataBar" id="{9AD4EE39-3FFA-446B-B695-F2892FFE0747}">
            <x14:dataBar minLength="0" maxLength="100" gradient="0">
              <x14:cfvo type="autoMin"/>
              <x14:cfvo type="num">
                <xm:f>1</xm:f>
              </x14:cfvo>
              <x14:negativeFillColor rgb="FFFF0000"/>
              <x14:axisColor rgb="FF000000"/>
            </x14:dataBar>
          </x14:cfRule>
          <xm:sqref>J176</xm:sqref>
        </x14:conditionalFormatting>
        <x14:conditionalFormatting xmlns:xm="http://schemas.microsoft.com/office/excel/2006/main">
          <x14:cfRule type="dataBar" id="{5633C64C-882D-4B7A-9782-65CB9C338899}">
            <x14:dataBar minLength="0" maxLength="100" gradient="0">
              <x14:cfvo type="autoMin"/>
              <x14:cfvo type="num">
                <xm:f>1</xm:f>
              </x14:cfvo>
              <x14:negativeFillColor rgb="FFFF0000"/>
              <x14:axisColor rgb="FF000000"/>
            </x14:dataBar>
          </x14:cfRule>
          <xm:sqref>J181</xm:sqref>
        </x14:conditionalFormatting>
        <x14:conditionalFormatting xmlns:xm="http://schemas.microsoft.com/office/excel/2006/main">
          <x14:cfRule type="dataBar" id="{CFD906C5-AB42-49B3-99D6-F09D59406D7F}">
            <x14:dataBar minLength="0" maxLength="100" gradient="0">
              <x14:cfvo type="autoMin"/>
              <x14:cfvo type="num">
                <xm:f>1</xm:f>
              </x14:cfvo>
              <x14:negativeFillColor rgb="FFFF0000"/>
              <x14:axisColor rgb="FF000000"/>
            </x14:dataBar>
          </x14:cfRule>
          <xm:sqref>K181</xm:sqref>
        </x14:conditionalFormatting>
        <x14:conditionalFormatting xmlns:xm="http://schemas.microsoft.com/office/excel/2006/main">
          <x14:cfRule type="dataBar" id="{F76EDA19-80AD-4DA6-8999-CD8BB279B9C7}">
            <x14:dataBar minLength="0" maxLength="100" gradient="0">
              <x14:cfvo type="autoMin"/>
              <x14:cfvo type="num">
                <xm:f>1</xm:f>
              </x14:cfvo>
              <x14:negativeFillColor rgb="FFFF0000"/>
              <x14:axisColor rgb="FF000000"/>
            </x14:dataBar>
          </x14:cfRule>
          <xm:sqref>L181</xm:sqref>
        </x14:conditionalFormatting>
        <x14:conditionalFormatting xmlns:xm="http://schemas.microsoft.com/office/excel/2006/main">
          <x14:cfRule type="dataBar" id="{E60F736A-AA98-4500-8337-5CED2E614E84}">
            <x14:dataBar minLength="0" maxLength="100" gradient="0">
              <x14:cfvo type="autoMin"/>
              <x14:cfvo type="num">
                <xm:f>1</xm:f>
              </x14:cfvo>
              <x14:negativeFillColor rgb="FFFF0000"/>
              <x14:axisColor rgb="FF000000"/>
            </x14:dataBar>
          </x14:cfRule>
          <xm:sqref>K185</xm:sqref>
        </x14:conditionalFormatting>
        <x14:conditionalFormatting xmlns:xm="http://schemas.microsoft.com/office/excel/2006/main">
          <x14:cfRule type="dataBar" id="{C171AA19-86FB-4B34-9D00-A531874B47D0}">
            <x14:dataBar minLength="0" maxLength="100" gradient="0">
              <x14:cfvo type="autoMin"/>
              <x14:cfvo type="num">
                <xm:f>1</xm:f>
              </x14:cfvo>
              <x14:negativeFillColor rgb="FFFF0000"/>
              <x14:axisColor rgb="FF000000"/>
            </x14:dataBar>
          </x14:cfRule>
          <xm:sqref>L185</xm:sqref>
        </x14:conditionalFormatting>
        <x14:conditionalFormatting xmlns:xm="http://schemas.microsoft.com/office/excel/2006/main">
          <x14:cfRule type="dataBar" id="{9A57377A-CA7C-4521-8881-B6A22CC26EFF}">
            <x14:dataBar minLength="0" maxLength="100" gradient="0">
              <x14:cfvo type="autoMin"/>
              <x14:cfvo type="num">
                <xm:f>1</xm:f>
              </x14:cfvo>
              <x14:negativeFillColor rgb="FFFF0000"/>
              <x14:axisColor rgb="FF000000"/>
            </x14:dataBar>
          </x14:cfRule>
          <xm:sqref>J185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4:D43"/>
  <sheetViews>
    <sheetView topLeftCell="A24" workbookViewId="0">
      <selection activeCell="D33" sqref="D33"/>
    </sheetView>
  </sheetViews>
  <sheetFormatPr baseColWidth="10" defaultColWidth="11.5" defaultRowHeight="15" x14ac:dyDescent="0.2"/>
  <sheetData>
    <row r="24" spans="1:4" x14ac:dyDescent="0.2">
      <c r="A24" s="63" t="s">
        <v>61</v>
      </c>
      <c r="B24" t="s">
        <v>62</v>
      </c>
      <c r="C24" s="20">
        <v>44245</v>
      </c>
      <c r="D24" t="s">
        <v>63</v>
      </c>
    </row>
    <row r="25" spans="1:4" x14ac:dyDescent="0.2">
      <c r="A25" s="63"/>
      <c r="B25" t="s">
        <v>64</v>
      </c>
      <c r="C25" s="3">
        <v>1</v>
      </c>
      <c r="D25" s="3">
        <v>0.4</v>
      </c>
    </row>
    <row r="42" spans="1:4" x14ac:dyDescent="0.2">
      <c r="A42" s="63" t="s">
        <v>65</v>
      </c>
      <c r="B42" t="s">
        <v>62</v>
      </c>
      <c r="C42" s="20">
        <f ca="1">TODAY()</f>
        <v>44878</v>
      </c>
      <c r="D42" t="s">
        <v>66</v>
      </c>
    </row>
    <row r="43" spans="1:4" x14ac:dyDescent="0.2">
      <c r="A43" s="63"/>
      <c r="B43" t="s">
        <v>64</v>
      </c>
      <c r="C43" s="3">
        <v>1</v>
      </c>
      <c r="D43" s="3">
        <v>1</v>
      </c>
    </row>
  </sheetData>
  <mergeCells count="2">
    <mergeCell ref="A24:A25"/>
    <mergeCell ref="A42:A4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34" workbookViewId="0">
      <selection activeCell="R2" sqref="R2"/>
    </sheetView>
  </sheetViews>
  <sheetFormatPr baseColWidth="10" defaultColWidth="11.5" defaultRowHeight="15" x14ac:dyDescent="0.2"/>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15"/>
  <sheetViews>
    <sheetView workbookViewId="0">
      <selection activeCell="C10" sqref="C10"/>
    </sheetView>
  </sheetViews>
  <sheetFormatPr baseColWidth="10" defaultColWidth="9.1640625" defaultRowHeight="15" x14ac:dyDescent="0.2"/>
  <cols>
    <col min="2" max="2" width="19.83203125" bestFit="1" customWidth="1"/>
    <col min="3" max="3" width="32.1640625" customWidth="1"/>
    <col min="4" max="4" width="24.33203125" bestFit="1" customWidth="1"/>
    <col min="5" max="5" width="17.5" bestFit="1" customWidth="1"/>
    <col min="7" max="7" width="13.83203125" customWidth="1"/>
  </cols>
  <sheetData>
    <row r="1" spans="1:7" x14ac:dyDescent="0.2">
      <c r="A1" s="13" t="s">
        <v>67</v>
      </c>
      <c r="B1" s="13" t="s">
        <v>68</v>
      </c>
      <c r="C1" s="13" t="s">
        <v>69</v>
      </c>
      <c r="D1" s="13" t="s">
        <v>70</v>
      </c>
      <c r="E1" s="14" t="s">
        <v>71</v>
      </c>
      <c r="G1" t="s">
        <v>72</v>
      </c>
    </row>
    <row r="2" spans="1:7" ht="160" x14ac:dyDescent="0.2">
      <c r="A2" s="1">
        <v>1</v>
      </c>
      <c r="B2" s="12">
        <v>44123</v>
      </c>
      <c r="C2" s="11" t="s">
        <v>73</v>
      </c>
      <c r="D2" s="1">
        <v>2.5</v>
      </c>
      <c r="E2" s="1" t="s">
        <v>74</v>
      </c>
      <c r="G2">
        <f>SUM(D2:D100)</f>
        <v>12.5</v>
      </c>
    </row>
    <row r="3" spans="1:7" ht="160" x14ac:dyDescent="0.2">
      <c r="A3" s="1">
        <v>2</v>
      </c>
      <c r="B3" s="12">
        <v>44123</v>
      </c>
      <c r="C3" s="11" t="s">
        <v>75</v>
      </c>
      <c r="D3" s="1">
        <v>1</v>
      </c>
      <c r="E3" s="1" t="s">
        <v>76</v>
      </c>
    </row>
    <row r="4" spans="1:7" ht="48" x14ac:dyDescent="0.2">
      <c r="A4" s="1">
        <v>3</v>
      </c>
      <c r="B4" s="12">
        <v>44131</v>
      </c>
      <c r="C4" s="11" t="s">
        <v>77</v>
      </c>
      <c r="D4" s="1">
        <v>1</v>
      </c>
      <c r="E4" s="1" t="s">
        <v>74</v>
      </c>
    </row>
    <row r="5" spans="1:7" ht="48" x14ac:dyDescent="0.2">
      <c r="A5" s="1">
        <v>4</v>
      </c>
      <c r="B5" s="12">
        <v>44131</v>
      </c>
      <c r="C5" s="11" t="s">
        <v>78</v>
      </c>
      <c r="D5" s="1">
        <v>1</v>
      </c>
      <c r="E5" s="1" t="s">
        <v>76</v>
      </c>
    </row>
    <row r="6" spans="1:7" ht="48" x14ac:dyDescent="0.2">
      <c r="A6" s="1">
        <v>5</v>
      </c>
      <c r="B6" s="12">
        <v>44141</v>
      </c>
      <c r="C6" s="11" t="s">
        <v>79</v>
      </c>
      <c r="D6" s="1">
        <v>1.5</v>
      </c>
      <c r="E6" s="1" t="s">
        <v>76</v>
      </c>
    </row>
    <row r="7" spans="1:7" ht="48" x14ac:dyDescent="0.2">
      <c r="A7" s="1">
        <v>6</v>
      </c>
      <c r="B7" s="12">
        <v>44141</v>
      </c>
      <c r="C7" s="11" t="s">
        <v>80</v>
      </c>
      <c r="D7" s="1">
        <v>1.5</v>
      </c>
      <c r="E7" s="1" t="s">
        <v>74</v>
      </c>
    </row>
    <row r="8" spans="1:7" ht="160" x14ac:dyDescent="0.2">
      <c r="A8" s="1">
        <v>7</v>
      </c>
      <c r="B8" s="12">
        <v>44141</v>
      </c>
      <c r="C8" s="16" t="s">
        <v>81</v>
      </c>
      <c r="D8" s="1">
        <v>1.5</v>
      </c>
      <c r="E8" s="1" t="s">
        <v>74</v>
      </c>
    </row>
    <row r="9" spans="1:7" ht="192" x14ac:dyDescent="0.2">
      <c r="A9" s="1">
        <v>8</v>
      </c>
      <c r="B9" s="12">
        <v>44147</v>
      </c>
      <c r="C9" s="16" t="s">
        <v>82</v>
      </c>
      <c r="D9" s="1">
        <v>2.5</v>
      </c>
      <c r="E9" s="1" t="s">
        <v>74</v>
      </c>
    </row>
    <row r="10" spans="1:7" x14ac:dyDescent="0.2">
      <c r="A10" s="1"/>
      <c r="B10" s="1"/>
      <c r="C10" s="15"/>
      <c r="D10" s="1"/>
      <c r="E10" s="1"/>
    </row>
    <row r="11" spans="1:7" x14ac:dyDescent="0.2">
      <c r="A11" s="1"/>
      <c r="B11" s="1"/>
      <c r="C11" s="15"/>
      <c r="D11" s="1"/>
      <c r="E11" s="1"/>
    </row>
    <row r="12" spans="1:7" x14ac:dyDescent="0.2">
      <c r="A12" s="1"/>
      <c r="B12" s="1"/>
      <c r="C12" s="15"/>
      <c r="D12" s="1"/>
      <c r="E12" s="1"/>
    </row>
    <row r="13" spans="1:7" x14ac:dyDescent="0.2">
      <c r="A13" s="1"/>
      <c r="B13" s="1"/>
      <c r="C13" s="15"/>
      <c r="D13" s="1"/>
      <c r="E13" s="1"/>
    </row>
    <row r="14" spans="1:7" x14ac:dyDescent="0.2">
      <c r="A14" s="1"/>
      <c r="B14" s="1"/>
      <c r="C14" s="15"/>
      <c r="D14" s="1"/>
      <c r="E14" s="1"/>
    </row>
    <row r="15" spans="1:7" x14ac:dyDescent="0.2">
      <c r="A15" s="1"/>
      <c r="B15" s="1"/>
      <c r="C15" s="1"/>
      <c r="D15" s="1"/>
      <c r="E15"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6</vt:i4>
      </vt:variant>
    </vt:vector>
  </HeadingPairs>
  <TitlesOfParts>
    <vt:vector size="6" baseType="lpstr">
      <vt:lpstr>Flujos Automatizados Movil</vt:lpstr>
      <vt:lpstr>Hoja1</vt:lpstr>
      <vt:lpstr>Resumen Total Movil</vt:lpstr>
      <vt:lpstr>Graficas</vt:lpstr>
      <vt:lpstr>Resumen Diario Movil</vt:lpstr>
      <vt:lpstr>Tiempos Muertos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Jesus Yasmani Martinez Perdomo</dc:creator>
  <cp:keywords/>
  <dc:description/>
  <cp:lastModifiedBy>Microsoft Office User</cp:lastModifiedBy>
  <cp:revision/>
  <dcterms:created xsi:type="dcterms:W3CDTF">2020-08-21T15:46:42Z</dcterms:created>
  <dcterms:modified xsi:type="dcterms:W3CDTF">2022-11-13T05:12:34Z</dcterms:modified>
  <cp:category/>
  <cp:contentStatus/>
</cp:coreProperties>
</file>