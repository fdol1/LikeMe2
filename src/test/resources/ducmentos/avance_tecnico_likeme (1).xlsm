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4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3"/>
  <workbookPr defaultThemeVersion="124226"/>
  <mc:AlternateContent xmlns:mc="http://schemas.openxmlformats.org/markup-compatibility/2006">
    <mc:Choice Requires="x15">
      <x15ac:absPath xmlns:x15ac="http://schemas.microsoft.com/office/spreadsheetml/2010/11/ac" url="/Users/choucair/Downloads/"/>
    </mc:Choice>
  </mc:AlternateContent>
  <xr:revisionPtr revIDLastSave="0" documentId="13_ncr:1_{0DE872F4-279D-454C-A8F8-3517B0EA94A5}" xr6:coauthVersionLast="47" xr6:coauthVersionMax="47" xr10:uidLastSave="{00000000-0000-0000-0000-000000000000}"/>
  <bookViews>
    <workbookView xWindow="0" yWindow="480" windowWidth="35840" windowHeight="21920" xr2:uid="{00000000-000D-0000-FFFF-FFFF00000000}"/>
  </bookViews>
  <sheets>
    <sheet name="Flujos Automatizados Movil" sheetId="1" r:id="rId1"/>
    <sheet name="Hoja2" sheetId="12" r:id="rId2"/>
    <sheet name="Hoja1" sheetId="11" state="hidden" r:id="rId3"/>
    <sheet name="Resumen Total Movil" sheetId="2" state="hidden" r:id="rId4"/>
    <sheet name="Graficas" sheetId="10" state="hidden" r:id="rId5"/>
    <sheet name="Resumen Diario Movil" sheetId="3" state="hidden" r:id="rId6"/>
    <sheet name="Tiempos Muertos" sheetId="9" state="hidden" r:id="rId7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8" i="2" l="1"/>
  <c r="H23" i="1"/>
  <c r="H22" i="1"/>
  <c r="P22" i="1" s="1"/>
  <c r="P7" i="1"/>
  <c r="P9" i="1"/>
  <c r="P11" i="1"/>
  <c r="P12" i="1"/>
  <c r="P13" i="1"/>
  <c r="P23" i="1"/>
  <c r="P24" i="1"/>
  <c r="P25" i="1"/>
  <c r="P26" i="1"/>
  <c r="P27" i="1"/>
  <c r="P28" i="1"/>
  <c r="P29" i="1"/>
  <c r="P30" i="1"/>
  <c r="O7" i="1"/>
  <c r="Q7" i="1" s="1"/>
  <c r="O8" i="1"/>
  <c r="O9" i="1"/>
  <c r="Q9" i="1" s="1"/>
  <c r="O10" i="1"/>
  <c r="O14" i="1"/>
  <c r="O23" i="1"/>
  <c r="O24" i="1"/>
  <c r="O25" i="1"/>
  <c r="O26" i="1"/>
  <c r="Q26" i="1" s="1"/>
  <c r="O27" i="1"/>
  <c r="O28" i="1"/>
  <c r="Q28" i="1" s="1"/>
  <c r="O29" i="1"/>
  <c r="Q29" i="1" s="1"/>
  <c r="O30" i="1"/>
  <c r="H8" i="1"/>
  <c r="P8" i="1" s="1"/>
  <c r="H13" i="1"/>
  <c r="O13" i="1" s="1"/>
  <c r="Q13" i="1" s="1"/>
  <c r="H12" i="1"/>
  <c r="O12" i="1" s="1"/>
  <c r="Q12" i="1" s="1"/>
  <c r="H5" i="1"/>
  <c r="O5" i="1" s="1"/>
  <c r="H6" i="1"/>
  <c r="P6" i="1" s="1"/>
  <c r="H7" i="1"/>
  <c r="H9" i="1"/>
  <c r="H10" i="1"/>
  <c r="H11" i="1"/>
  <c r="O11" i="1" s="1"/>
  <c r="Q11" i="1" s="1"/>
  <c r="H14" i="1"/>
  <c r="P14" i="1" s="1"/>
  <c r="Q14" i="1" s="1"/>
  <c r="H15" i="1"/>
  <c r="P15" i="1" s="1"/>
  <c r="H16" i="1"/>
  <c r="O16" i="1" s="1"/>
  <c r="H17" i="1"/>
  <c r="P17" i="1" s="1"/>
  <c r="H18" i="1"/>
  <c r="P18" i="1" s="1"/>
  <c r="H19" i="1"/>
  <c r="P19" i="1" s="1"/>
  <c r="H20" i="1"/>
  <c r="O20" i="1" s="1"/>
  <c r="H21" i="1"/>
  <c r="P21" i="1" s="1"/>
  <c r="H4" i="1"/>
  <c r="Q10" i="1" l="1"/>
  <c r="Q23" i="1"/>
  <c r="Q25" i="1"/>
  <c r="Q30" i="1"/>
  <c r="Q27" i="1"/>
  <c r="Q24" i="1"/>
  <c r="O22" i="1"/>
  <c r="Q22" i="1" s="1"/>
  <c r="Q8" i="1"/>
  <c r="O21" i="1"/>
  <c r="Q21" i="1" s="1"/>
  <c r="O19" i="1"/>
  <c r="Q19" i="1" s="1"/>
  <c r="O18" i="1"/>
  <c r="Q18" i="1" s="1"/>
  <c r="P20" i="1"/>
  <c r="Q20" i="1" s="1"/>
  <c r="P5" i="1"/>
  <c r="Q5" i="1" s="1"/>
  <c r="P16" i="1"/>
  <c r="Q16" i="1" s="1"/>
  <c r="O6" i="1"/>
  <c r="Q6" i="1" s="1"/>
  <c r="O17" i="1"/>
  <c r="Q17" i="1" s="1"/>
  <c r="O15" i="1"/>
  <c r="Q15" i="1" s="1"/>
  <c r="J95" i="2"/>
  <c r="T33" i="2"/>
  <c r="U33" i="2"/>
  <c r="V33" i="2"/>
  <c r="T36" i="2"/>
  <c r="U36" i="2"/>
  <c r="V36" i="2"/>
  <c r="T37" i="2"/>
  <c r="U37" i="2"/>
  <c r="V37" i="2"/>
  <c r="D142" i="2"/>
  <c r="D143" i="2"/>
  <c r="D144" i="2"/>
  <c r="D141" i="2"/>
  <c r="C144" i="2"/>
  <c r="C143" i="2"/>
  <c r="C142" i="2"/>
  <c r="C141" i="2"/>
  <c r="C94" i="2"/>
  <c r="C42" i="10"/>
  <c r="E141" i="2" l="1"/>
  <c r="C145" i="2"/>
  <c r="E144" i="2"/>
  <c r="G144" i="2" s="1"/>
  <c r="E143" i="2"/>
  <c r="G143" i="2" s="1"/>
  <c r="E142" i="2"/>
  <c r="D145" i="2"/>
  <c r="D97" i="2"/>
  <c r="D96" i="2"/>
  <c r="D95" i="2"/>
  <c r="C97" i="2"/>
  <c r="C96" i="2"/>
  <c r="C95" i="2"/>
  <c r="D94" i="2"/>
  <c r="D51" i="2"/>
  <c r="D50" i="2"/>
  <c r="D49" i="2"/>
  <c r="C51" i="2"/>
  <c r="C50" i="2"/>
  <c r="C49" i="2"/>
  <c r="E51" i="2" l="1"/>
  <c r="G51" i="2" s="1"/>
  <c r="E50" i="2"/>
  <c r="G50" i="2" s="1"/>
  <c r="E145" i="2"/>
  <c r="E95" i="2"/>
  <c r="E96" i="2"/>
  <c r="G96" i="2" s="1"/>
  <c r="C98" i="2"/>
  <c r="D98" i="2"/>
  <c r="E97" i="2"/>
  <c r="G97" i="2" s="1"/>
  <c r="E94" i="2"/>
  <c r="D5" i="2"/>
  <c r="D4" i="2"/>
  <c r="C5" i="2"/>
  <c r="C4" i="2"/>
  <c r="D48" i="2"/>
  <c r="J167" i="2" l="1"/>
  <c r="J172" i="2"/>
  <c r="AB3" i="2" s="1"/>
  <c r="J176" i="2"/>
  <c r="L167" i="2"/>
  <c r="L172" i="2"/>
  <c r="AB5" i="2" s="1"/>
  <c r="K167" i="2"/>
  <c r="L176" i="2"/>
  <c r="K172" i="2"/>
  <c r="AB4" i="2" s="1"/>
  <c r="K176" i="2"/>
  <c r="K163" i="2"/>
  <c r="AD4" i="2" s="1"/>
  <c r="L163" i="2"/>
  <c r="AD5" i="2" s="1"/>
  <c r="L181" i="2"/>
  <c r="AA5" i="2" s="1"/>
  <c r="L185" i="2"/>
  <c r="J163" i="2"/>
  <c r="AD3" i="2" s="1"/>
  <c r="K154" i="2"/>
  <c r="AC4" i="2" s="1"/>
  <c r="K181" i="2"/>
  <c r="AA4" i="2" s="1"/>
  <c r="K185" i="2"/>
  <c r="J181" i="2"/>
  <c r="AA3" i="2" s="1"/>
  <c r="J185" i="2"/>
  <c r="J158" i="2"/>
  <c r="K158" i="2"/>
  <c r="F141" i="2"/>
  <c r="G141" i="2" s="1"/>
  <c r="J154" i="2"/>
  <c r="AC3" i="2" s="1"/>
  <c r="L158" i="2"/>
  <c r="L154" i="2"/>
  <c r="AC5" i="2" s="1"/>
  <c r="F142" i="2"/>
  <c r="G142" i="2" s="1"/>
  <c r="E5" i="2"/>
  <c r="E4" i="2"/>
  <c r="E98" i="2"/>
  <c r="E48" i="2"/>
  <c r="D52" i="2"/>
  <c r="E49" i="2"/>
  <c r="C52" i="2"/>
  <c r="G145" i="2" l="1"/>
  <c r="F145" i="2"/>
  <c r="K142" i="2"/>
  <c r="S4" i="2" s="1"/>
  <c r="L146" i="2"/>
  <c r="K146" i="2"/>
  <c r="J146" i="2"/>
  <c r="J142" i="2"/>
  <c r="S3" i="2" s="1"/>
  <c r="L142" i="2"/>
  <c r="S5" i="2" s="1"/>
  <c r="E52" i="2"/>
  <c r="F95" i="2" l="1"/>
  <c r="G95" i="2" s="1"/>
  <c r="F94" i="2"/>
  <c r="G94" i="2" s="1"/>
  <c r="F48" i="2"/>
  <c r="G48" i="2" s="1"/>
  <c r="F49" i="2"/>
  <c r="G49" i="2" s="1"/>
  <c r="J49" i="2"/>
  <c r="U3" i="2" s="1"/>
  <c r="J53" i="2"/>
  <c r="K53" i="2" l="1"/>
  <c r="K49" i="2"/>
  <c r="T4" i="2" s="1"/>
  <c r="G98" i="2"/>
  <c r="F98" i="2"/>
  <c r="L95" i="2"/>
  <c r="T5" i="2" s="1"/>
  <c r="L99" i="2"/>
  <c r="K95" i="2"/>
  <c r="T3" i="2"/>
  <c r="J99" i="2"/>
  <c r="K99" i="2"/>
  <c r="L49" i="2"/>
  <c r="U5" i="2" s="1"/>
  <c r="L53" i="2"/>
  <c r="G52" i="2"/>
  <c r="F52" i="2"/>
  <c r="U4" i="2" l="1"/>
  <c r="D3" i="2" l="1"/>
  <c r="D2" i="2"/>
  <c r="C3" i="2"/>
  <c r="C2" i="2"/>
  <c r="P4" i="1" l="1"/>
  <c r="P31" i="1" s="1"/>
  <c r="O4" i="1"/>
  <c r="O31" i="1" s="1"/>
  <c r="D6" i="2"/>
  <c r="E2" i="2"/>
  <c r="C6" i="2"/>
  <c r="E3" i="2"/>
  <c r="Q4" i="1" l="1"/>
  <c r="Q31" i="1" s="1"/>
  <c r="F2" i="2"/>
  <c r="G2" i="2" s="1"/>
  <c r="F5" i="2"/>
  <c r="G5" i="2" s="1"/>
  <c r="F4" i="2"/>
  <c r="G4" i="2" s="1"/>
  <c r="F3" i="2"/>
  <c r="J3" i="2" l="1"/>
  <c r="V3" i="2" s="1"/>
  <c r="L3" i="2"/>
  <c r="V5" i="2" s="1"/>
  <c r="J7" i="2"/>
  <c r="K3" i="2"/>
  <c r="V4" i="2" s="1"/>
  <c r="K7" i="2"/>
  <c r="L7" i="2"/>
  <c r="G3" i="2"/>
  <c r="G6" i="2" s="1"/>
  <c r="F6" i="2"/>
  <c r="E6" i="2"/>
</calcChain>
</file>

<file path=xl/sharedStrings.xml><?xml version="1.0" encoding="utf-8"?>
<sst xmlns="http://schemas.openxmlformats.org/spreadsheetml/2006/main" count="242" uniqueCount="112">
  <si>
    <t>Id</t>
  </si>
  <si>
    <t>Tipo</t>
  </si>
  <si>
    <t>Tags</t>
  </si>
  <si>
    <t>Modelo de Negocio</t>
  </si>
  <si>
    <t>Modelado Tecnico</t>
  </si>
  <si>
    <t>% Avance Auto Temprana</t>
  </si>
  <si>
    <t>Avance Android</t>
  </si>
  <si>
    <t>Avance IOS</t>
  </si>
  <si>
    <t>Avance Total Móvil</t>
  </si>
  <si>
    <t>Avance Total</t>
  </si>
  <si>
    <t>Cuenta de Ahorros Tradicional Cliente Nuevo</t>
  </si>
  <si>
    <t>Funcional</t>
  </si>
  <si>
    <t>Credito Personal</t>
  </si>
  <si>
    <t xml:space="preserve">Tecnologia </t>
  </si>
  <si>
    <t>Avance Modelo Negocio</t>
  </si>
  <si>
    <t>Avance Modelo Tecnico</t>
  </si>
  <si>
    <t>Avance Automatización Temprana</t>
  </si>
  <si>
    <t>Avance Estructura Técnica</t>
  </si>
  <si>
    <t>RESUMEN FLUJOS AUTO CUENTA DE AHORROS MÓVIL</t>
  </si>
  <si>
    <t>CLIENTE NUEVO</t>
  </si>
  <si>
    <t>Android</t>
  </si>
  <si>
    <t>Flujos Negativos</t>
  </si>
  <si>
    <t>Flujos Alternos</t>
  </si>
  <si>
    <t>Flujos Funcionales</t>
  </si>
  <si>
    <t>TC</t>
  </si>
  <si>
    <t>Nomina</t>
  </si>
  <si>
    <t>Ahorros</t>
  </si>
  <si>
    <t>Credito Personal CE</t>
  </si>
  <si>
    <t>TC CE</t>
  </si>
  <si>
    <t>Nomina CE</t>
  </si>
  <si>
    <t>Ahorros CE</t>
  </si>
  <si>
    <t>Credito Rotativo CE</t>
  </si>
  <si>
    <t>IOS</t>
  </si>
  <si>
    <t>Tablet</t>
  </si>
  <si>
    <t>Web</t>
  </si>
  <si>
    <t>RESUMEN FLUJOS AUTO CUENTA DE AHORROS PROYECTO</t>
  </si>
  <si>
    <t>Total</t>
  </si>
  <si>
    <t>Ahorro</t>
  </si>
  <si>
    <t>Alternos</t>
  </si>
  <si>
    <t>Negativos</t>
  </si>
  <si>
    <t>Funcionales</t>
  </si>
  <si>
    <t>TOTAL</t>
  </si>
  <si>
    <t>Casos de prueba</t>
  </si>
  <si>
    <t>Tiempo manual/horas</t>
  </si>
  <si>
    <t>Tiempo auto aprox</t>
  </si>
  <si>
    <t>RESUMEN FLUJOS AUTO CUENTA DE NOMINA MÓVIL</t>
  </si>
  <si>
    <t>Cuenta de Nomina</t>
  </si>
  <si>
    <t>RESUMEN FLUJOS AUTO CUENTA DE NOMINA</t>
  </si>
  <si>
    <t>RESUMEN FLUJOS AUTO TARJETA DE CREDITO MOVIL</t>
  </si>
  <si>
    <t>Tarjeta de Crédito</t>
  </si>
  <si>
    <t>RESUMEN FLUJOS AUTO TARJETA DE CREDITO</t>
  </si>
  <si>
    <t>RESUMEN FLUJOS AUTO CREDITO PERSONAL MOVIL</t>
  </si>
  <si>
    <t>RESUMEN FLUJOS AUTO CREDITO PERSONAL</t>
  </si>
  <si>
    <t>RESUMEN FLUJOS AUTO CUENTA NOMINA CE MOVIL</t>
  </si>
  <si>
    <t>RESUMEN FLUJOS AUTO CUENTA NOMINA CE</t>
  </si>
  <si>
    <t>RESUMEN FLUJOS AUTO CUENTA AHORROS CE MOVIL</t>
  </si>
  <si>
    <t>RESUMEN FLUJOS AUTO CUENTA AHORROS CE</t>
  </si>
  <si>
    <t>RESUMEN FLUJOS AUTO TARJETA CREDITO CE MOVIL</t>
  </si>
  <si>
    <t>RESUMEN FLUJOS AUTO TARJETA CREDITO CE</t>
  </si>
  <si>
    <t>RESUMEN FLUJOS AUTO CREDITO PERSONAL CE MOVIL</t>
  </si>
  <si>
    <t>RESUMEN FLUJOS AUTO CREDITO PERSONAL CE</t>
  </si>
  <si>
    <t>Ayer</t>
  </si>
  <si>
    <t>Trabajo</t>
  </si>
  <si>
    <t>Real, en progreso 6</t>
  </si>
  <si>
    <t>Estimado, 2 flujos E2E</t>
  </si>
  <si>
    <t>Hoy</t>
  </si>
  <si>
    <t>Real, Se culmina estabilización flujos funcionales</t>
  </si>
  <si>
    <t>Mapeo Objetos Android</t>
  </si>
  <si>
    <t>Mapeo de Objetos IOS</t>
  </si>
  <si>
    <t>Estabilización</t>
  </si>
  <si>
    <t>Login</t>
  </si>
  <si>
    <t>Flujo</t>
  </si>
  <si>
    <t>Total de Escenarios</t>
  </si>
  <si>
    <t>Escenarios pendinetes</t>
  </si>
  <si>
    <t>Total de Escenarios Automatizados</t>
  </si>
  <si>
    <t>Escenarios</t>
  </si>
  <si>
    <t>Modulo</t>
  </si>
  <si>
    <t>Iniciar sesión exitoso</t>
  </si>
  <si>
    <t>Iniciar sesión con clave invalida</t>
  </si>
  <si>
    <t>Iniciar sesión con formato de correo invalido</t>
  </si>
  <si>
    <t>Iniciar sesión con campos vacíos</t>
  </si>
  <si>
    <t>Iniciar sesión exitiso</t>
  </si>
  <si>
    <t>Iniciar sesión con credencial falsa</t>
  </si>
  <si>
    <t>Iniciar sesión con formato invalido</t>
  </si>
  <si>
    <t>Iniciar sesión con campos vacios</t>
  </si>
  <si>
    <t>Header</t>
  </si>
  <si>
    <t>Verificar barra de navegacion en proceso de pagos</t>
  </si>
  <si>
    <t>Verificar header</t>
  </si>
  <si>
    <t>Selección de articulos</t>
  </si>
  <si>
    <t>Buscar un producto</t>
  </si>
  <si>
    <t>Agregar producto al carrito, estando autenticado</t>
  </si>
  <si>
    <t>Agregar producto al carrito, sin autenticación</t>
  </si>
  <si>
    <t>Buscar producto</t>
  </si>
  <si>
    <t>Verificar despliegue del menú resumen</t>
  </si>
  <si>
    <t>Agregar al carrito autenticado</t>
  </si>
  <si>
    <t>Verificar despliegue menu resumen</t>
  </si>
  <si>
    <t>Resumen de compra</t>
  </si>
  <si>
    <t>Verificar codigo de descuento</t>
  </si>
  <si>
    <t>Verificar descuento aplicado</t>
  </si>
  <si>
    <t>Verificar mensaje de descuento aplicado</t>
  </si>
  <si>
    <t>Verificar total de la compra</t>
  </si>
  <si>
    <t>Verificar dias habiles de entrega</t>
  </si>
  <si>
    <t>Resumen compra</t>
  </si>
  <si>
    <t>Verificar saldo a favor</t>
  </si>
  <si>
    <t>Resumen de envio</t>
  </si>
  <si>
    <t>Verificar metodo de envio</t>
  </si>
  <si>
    <t>Envio y facturacion diferentes</t>
  </si>
  <si>
    <t>Verificar dias referente a la ciudad destino</t>
  </si>
  <si>
    <t>Resumen de pago</t>
  </si>
  <si>
    <t>Editar correo</t>
  </si>
  <si>
    <t>Realizar pago</t>
  </si>
  <si>
    <t>Agregar al carrito sin autenticar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</si>
</sst>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0" applyNumberFormat="1"/>
    <xf numFmtId="9" fontId="0" fillId="0" borderId="0" xfId="1" applyFont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0" fillId="6" borderId="0" xfId="0" applyFill="1"/>
    <xf numFmtId="9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" xfId="0" applyBorder="1"/>
    <xf numFmtId="9" fontId="0" fillId="0" borderId="2" xfId="0" applyNumberFormat="1" applyBorder="1"/>
    <xf numFmtId="0" fontId="0" fillId="0" borderId="0" xfId="0" applyAlignment="1">
      <alignment vertical="center" wrapText="1"/>
    </xf>
    <xf numFmtId="14" fontId="0" fillId="0" borderId="0" xfId="0" applyNumberFormat="1" applyAlignment="1">
      <alignment horizontal="center"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9" fontId="0" fillId="0" borderId="1" xfId="0" applyNumberForma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14" borderId="1" xfId="0" applyNumberFormat="1" applyFill="1" applyBorder="1" applyAlignment="1">
      <alignment horizontal="center" vertical="center"/>
    </xf>
    <xf numFmtId="9" fontId="0" fillId="15" borderId="1" xfId="0" applyNumberFormat="1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vertical="center"/>
    </xf>
    <xf numFmtId="9" fontId="0" fillId="15" borderId="7" xfId="0" applyNumberFormat="1" applyFill="1" applyBorder="1" applyAlignment="1">
      <alignment horizontal="center" vertical="center"/>
    </xf>
    <xf numFmtId="9" fontId="0" fillId="0" borderId="7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" fillId="15" borderId="7" xfId="0" applyFont="1" applyFill="1" applyBorder="1" applyAlignment="1">
      <alignment horizontal="center" vertical="center"/>
    </xf>
    <xf numFmtId="0" fontId="3" fillId="15" borderId="8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15" borderId="0" xfId="0" applyFill="1"/>
    <xf numFmtId="0" fontId="0" fillId="15" borderId="1" xfId="0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8DB4E2"/>
      <color rgb="FF538D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Escenarios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Hoja1!$A$1:$C$1</c:f>
              <c:strCache>
                <c:ptCount val="3"/>
                <c:pt idx="0">
                  <c:v>Total de Escenarios</c:v>
                </c:pt>
                <c:pt idx="1">
                  <c:v>Total de Escenarios Automatizados</c:v>
                </c:pt>
                <c:pt idx="2">
                  <c:v>Escenarios pendinetes</c:v>
                </c:pt>
              </c:strCache>
            </c:strRef>
          </c:cat>
          <c:val>
            <c:numRef>
              <c:f>Hoja1!$A$2:$C$2</c:f>
              <c:numCache>
                <c:formatCode>General</c:formatCode>
                <c:ptCount val="3"/>
                <c:pt idx="0">
                  <c:v>34</c:v>
                </c:pt>
                <c:pt idx="1">
                  <c:v>24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8-184E-BCC9-0352F1B0BAB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68743231"/>
        <c:axId val="1953372799"/>
      </c:barChart>
      <c:catAx>
        <c:axId val="126874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372799"/>
        <c:crosses val="autoZero"/>
        <c:auto val="1"/>
        <c:lblAlgn val="ctr"/>
        <c:lblOffset val="100"/>
        <c:noMultiLvlLbl val="0"/>
      </c:catAx>
      <c:valAx>
        <c:axId val="195337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268743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Avance Automatización Cuenta de Ahorros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Total Movil'!$C$1</c:f>
              <c:strCache>
                <c:ptCount val="1"/>
                <c:pt idx="0">
                  <c:v>Avance Modelo Negocio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Movil'!$C$2:$C$5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2-427A-9B84-09E8E2E319AE}"/>
            </c:ext>
          </c:extLst>
        </c:ser>
        <c:ser>
          <c:idx val="1"/>
          <c:order val="1"/>
          <c:tx>
            <c:strRef>
              <c:f>'Resumen Total Movil'!$D$1</c:f>
              <c:strCache>
                <c:ptCount val="1"/>
                <c:pt idx="0">
                  <c:v>Avance Modelo Tecnico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Movil'!$D$2:$D$5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2-427A-9B84-09E8E2E319AE}"/>
            </c:ext>
          </c:extLst>
        </c:ser>
        <c:ser>
          <c:idx val="2"/>
          <c:order val="2"/>
          <c:tx>
            <c:strRef>
              <c:f>'Resumen Total Movil'!$E$1</c:f>
              <c:strCache>
                <c:ptCount val="1"/>
                <c:pt idx="0">
                  <c:v>Avance Automatización Temprana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Movil'!$E$2:$E$5</c:f>
              <c:numCache>
                <c:formatCode>0%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42-427A-9B84-09E8E2E319AE}"/>
            </c:ext>
          </c:extLst>
        </c:ser>
        <c:ser>
          <c:idx val="3"/>
          <c:order val="3"/>
          <c:tx>
            <c:strRef>
              <c:f>'Resumen Total Movil'!$F$1</c:f>
              <c:strCache>
                <c:ptCount val="1"/>
                <c:pt idx="0">
                  <c:v>Avance Estructura Técnica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Movil'!$F$2:$F$5</c:f>
              <c:numCache>
                <c:formatCode>0%</c:formatCode>
                <c:ptCount val="4"/>
                <c:pt idx="0">
                  <c:v>1</c:v>
                </c:pt>
                <c:pt idx="1">
                  <c:v>0.84952380952380957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42-427A-9B84-09E8E2E319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16823808"/>
        <c:axId val="166908416"/>
      </c:barChart>
      <c:catAx>
        <c:axId val="21682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6908416"/>
        <c:crosses val="autoZero"/>
        <c:auto val="1"/>
        <c:lblAlgn val="ctr"/>
        <c:lblOffset val="100"/>
        <c:noMultiLvlLbl val="0"/>
      </c:catAx>
      <c:valAx>
        <c:axId val="16690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6823808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Avance Total Automatización Cuenta de Ahorros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'Resumen Total Movil'!$B$2:$B$6</c:f>
              <c:strCache>
                <c:ptCount val="5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  <c:pt idx="4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8E8-4A65-A6A3-0419511511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8E8-4A65-A6A3-04195115116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5CF-4DE6-8F86-8F4185C7220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F8E8-4A65-A6A3-0419511511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Movil'!$B$2:$B$6</c:f>
              <c:strCache>
                <c:ptCount val="5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  <c:pt idx="4">
                  <c:v>Total</c:v>
                </c:pt>
              </c:strCache>
            </c:strRef>
          </c:cat>
          <c:val>
            <c:numRef>
              <c:f>'Resumen Total Movil'!$G$2:$G$6</c:f>
              <c:numCache>
                <c:formatCode>0%</c:formatCode>
                <c:ptCount val="5"/>
                <c:pt idx="0">
                  <c:v>1</c:v>
                </c:pt>
                <c:pt idx="1">
                  <c:v>0.92476190476190478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D5-4DFC-80BF-5B7171EF11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shape val="cylinder"/>
        <c:axId val="217632768"/>
        <c:axId val="166910720"/>
        <c:axId val="0"/>
      </c:bar3DChart>
      <c:catAx>
        <c:axId val="2176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166910720"/>
        <c:crosses val="autoZero"/>
        <c:auto val="1"/>
        <c:lblAlgn val="ctr"/>
        <c:lblOffset val="100"/>
        <c:noMultiLvlLbl val="0"/>
      </c:catAx>
      <c:valAx>
        <c:axId val="166910720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7632768"/>
        <c:crosses val="autoZero"/>
        <c:crossBetween val="between"/>
        <c:majorUnit val="0.2"/>
      </c:valAx>
    </c:plotArea>
    <c:legend>
      <c:legendPos val="r"/>
      <c:overlay val="0"/>
      <c:txPr>
        <a:bodyPr rot="0" vert="horz"/>
        <a:lstStyle/>
        <a:p>
          <a:pPr>
            <a:defRPr/>
          </a:pPr>
          <a:endParaRPr lang="es-CO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Resumen Flujos Automatizados Cuenta de Ahorros en Dispositivos Móviles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907-46F2-AC8E-C7E1D1CC4DD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907-46F2-AC8E-C7E1D1CC4DDE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F907-46F2-AC8E-C7E1D1CC4DD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Movil'!$J$2:$L$2</c:f>
              <c:strCache>
                <c:ptCount val="3"/>
                <c:pt idx="0">
                  <c:v>Flujos Negativos</c:v>
                </c:pt>
                <c:pt idx="1">
                  <c:v>Flujos Alternos</c:v>
                </c:pt>
                <c:pt idx="2">
                  <c:v>Flujos Funcionales</c:v>
                </c:pt>
              </c:strCache>
            </c:strRef>
          </c:cat>
          <c:val>
            <c:numRef>
              <c:f>'Resumen Total Movil'!$J$3:$L$3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07-46F2-AC8E-C7E1D1CC4D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cylinder"/>
        <c:axId val="217634304"/>
        <c:axId val="217514560"/>
        <c:axId val="0"/>
      </c:bar3DChart>
      <c:catAx>
        <c:axId val="2176343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7514560"/>
        <c:crosses val="autoZero"/>
        <c:auto val="1"/>
        <c:lblAlgn val="ctr"/>
        <c:lblOffset val="100"/>
        <c:noMultiLvlLbl val="0"/>
      </c:catAx>
      <c:valAx>
        <c:axId val="217514560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crossAx val="2176343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Resumen Total de Flujos Automatizados Cuenta de Ahorros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'Resumen Total Movil'!$J$6:$L$6</c:f>
              <c:strCache>
                <c:ptCount val="3"/>
                <c:pt idx="0">
                  <c:v>Flujos Negativos</c:v>
                </c:pt>
                <c:pt idx="1">
                  <c:v>Flujos Alternos</c:v>
                </c:pt>
                <c:pt idx="2">
                  <c:v>Flujos Funcionales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EBA-4221-8991-37FB32EFA0D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EBA-4221-8991-37FB32EFA0D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EBA-4221-8991-37FB32EFA0D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Movil'!$J$2:$L$2</c:f>
              <c:strCache>
                <c:ptCount val="3"/>
                <c:pt idx="0">
                  <c:v>Flujos Negativos</c:v>
                </c:pt>
                <c:pt idx="1">
                  <c:v>Flujos Alternos</c:v>
                </c:pt>
                <c:pt idx="2">
                  <c:v>Flujos Funcionales</c:v>
                </c:pt>
              </c:strCache>
            </c:strRef>
          </c:cat>
          <c:val>
            <c:numRef>
              <c:f>'Resumen Total Movil'!$J$7:$L$7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BA-4221-8991-37FB32EFA0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cylinder"/>
        <c:axId val="217636352"/>
        <c:axId val="217516288"/>
        <c:axId val="0"/>
      </c:bar3DChart>
      <c:catAx>
        <c:axId val="21763635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7516288"/>
        <c:crosses val="autoZero"/>
        <c:auto val="1"/>
        <c:lblAlgn val="ctr"/>
        <c:lblOffset val="100"/>
        <c:noMultiLvlLbl val="0"/>
      </c:catAx>
      <c:valAx>
        <c:axId val="21751628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crossAx val="2176363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VISIÓN</a:t>
            </a:r>
            <a:r>
              <a:rPr lang="es-CO" baseline="0"/>
              <a:t> GENERAL FLUJOS AUTO CUENTA DE AHORROS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71EA-4735-B14B-237D145F328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71EA-4735-B14B-237D145F328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1EA-4735-B14B-237D145F328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71EA-4735-B14B-237D145F328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Movil'!$C$1:$G$1</c:f>
              <c:strCache>
                <c:ptCount val="5"/>
                <c:pt idx="0">
                  <c:v>Avance Modelo Negocio</c:v>
                </c:pt>
                <c:pt idx="1">
                  <c:v>Avance Modelo Tecnico</c:v>
                </c:pt>
                <c:pt idx="2">
                  <c:v>Avance Automatización Temprana</c:v>
                </c:pt>
                <c:pt idx="3">
                  <c:v>Avance Estructura Técnica</c:v>
                </c:pt>
                <c:pt idx="4">
                  <c:v>Avance Total</c:v>
                </c:pt>
              </c:strCache>
            </c:strRef>
          </c:cat>
          <c:val>
            <c:numRef>
              <c:f>'Resumen Total Movil'!$C$6:$G$6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EA-4735-B14B-237D145F328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18087936"/>
        <c:axId val="217518016"/>
        <c:axId val="0"/>
      </c:bar3DChart>
      <c:catAx>
        <c:axId val="218087936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17518016"/>
        <c:crosses val="autoZero"/>
        <c:auto val="1"/>
        <c:lblAlgn val="ctr"/>
        <c:lblOffset val="100"/>
        <c:noMultiLvlLbl val="0"/>
      </c:catAx>
      <c:valAx>
        <c:axId val="217518016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21808793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Avance Automatización Cuenta de Nómina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Total Movil'!$C$47</c:f>
              <c:strCache>
                <c:ptCount val="1"/>
                <c:pt idx="0">
                  <c:v>Avance Modelo Negocio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Movil'!$C$48:$C$51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42-427A-9B84-09E8E2E319AE}"/>
            </c:ext>
          </c:extLst>
        </c:ser>
        <c:ser>
          <c:idx val="1"/>
          <c:order val="1"/>
          <c:tx>
            <c:strRef>
              <c:f>'Resumen Total Movil'!$D$47</c:f>
              <c:strCache>
                <c:ptCount val="1"/>
                <c:pt idx="0">
                  <c:v>Avance Modelo Tecnico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Movil'!$D$48:$D$51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42-427A-9B84-09E8E2E319AE}"/>
            </c:ext>
          </c:extLst>
        </c:ser>
        <c:ser>
          <c:idx val="2"/>
          <c:order val="2"/>
          <c:tx>
            <c:strRef>
              <c:f>'Resumen Total Movil'!$E$47</c:f>
              <c:strCache>
                <c:ptCount val="1"/>
                <c:pt idx="0">
                  <c:v>Avance Automatización Temprana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Movil'!$E$48:$E$51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42-427A-9B84-09E8E2E319AE}"/>
            </c:ext>
          </c:extLst>
        </c:ser>
        <c:ser>
          <c:idx val="3"/>
          <c:order val="3"/>
          <c:tx>
            <c:strRef>
              <c:f>'Resumen Total Movil'!$F$47</c:f>
              <c:strCache>
                <c:ptCount val="1"/>
                <c:pt idx="0">
                  <c:v>Avance Estructura Técnica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Movil'!$B$2:$B$5</c:f>
              <c:strCache>
                <c:ptCount val="4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</c:strCache>
            </c:strRef>
          </c:cat>
          <c:val>
            <c:numRef>
              <c:f>'Resumen Total Movil'!$F$48:$F$51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42-427A-9B84-09E8E2E319A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18088960"/>
        <c:axId val="217519744"/>
      </c:barChart>
      <c:catAx>
        <c:axId val="21808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7519744"/>
        <c:crosses val="autoZero"/>
        <c:auto val="1"/>
        <c:lblAlgn val="ctr"/>
        <c:lblOffset val="100"/>
        <c:noMultiLvlLbl val="0"/>
      </c:catAx>
      <c:valAx>
        <c:axId val="2175197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808896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Avance Total Automatización Cuenta de Nomina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8E8-4A65-A6A3-0419511511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8E8-4A65-A6A3-04195115116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A75-48A6-B0AF-180CB9538CB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F8E8-4A65-A6A3-0419511511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Movil'!$B$48:$B$52</c:f>
              <c:strCache>
                <c:ptCount val="5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  <c:pt idx="4">
                  <c:v>Total</c:v>
                </c:pt>
              </c:strCache>
            </c:strRef>
          </c:cat>
          <c:val>
            <c:numRef>
              <c:f>'Resumen Total Movil'!$G$48:$G$52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D5-4DFC-80BF-5B7171EF11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shape val="cylinder"/>
        <c:axId val="218091008"/>
        <c:axId val="218439680"/>
        <c:axId val="0"/>
      </c:bar3DChart>
      <c:catAx>
        <c:axId val="21809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8439680"/>
        <c:crosses val="autoZero"/>
        <c:auto val="1"/>
        <c:lblAlgn val="ctr"/>
        <c:lblOffset val="100"/>
        <c:noMultiLvlLbl val="0"/>
      </c:catAx>
      <c:valAx>
        <c:axId val="218439680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8091008"/>
        <c:crosses val="autoZero"/>
        <c:crossBetween val="between"/>
        <c:majorUnit val="0.2"/>
      </c:valAx>
    </c:plotArea>
    <c:legend>
      <c:legendPos val="r"/>
      <c:overlay val="0"/>
      <c:txPr>
        <a:bodyPr rot="0" vert="horz"/>
        <a:lstStyle/>
        <a:p>
          <a:pPr>
            <a:defRPr/>
          </a:pPr>
          <a:endParaRPr lang="es-CO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Resumen Flujos Automatizados Cuenta de Nomina en Dispositivos Móviles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907-46F2-AC8E-C7E1D1CC4DD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907-46F2-AC8E-C7E1D1CC4DDE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F907-46F2-AC8E-C7E1D1CC4DDE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Movil'!$J$2:$L$2</c:f>
              <c:strCache>
                <c:ptCount val="3"/>
                <c:pt idx="0">
                  <c:v>Flujos Negativos</c:v>
                </c:pt>
                <c:pt idx="1">
                  <c:v>Flujos Alternos</c:v>
                </c:pt>
                <c:pt idx="2">
                  <c:v>Flujos Funcionales</c:v>
                </c:pt>
              </c:strCache>
            </c:strRef>
          </c:cat>
          <c:val>
            <c:numRef>
              <c:f>'Resumen Total Movil'!$J$49:$L$49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07-46F2-AC8E-C7E1D1CC4D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cylinder"/>
        <c:axId val="218297344"/>
        <c:axId val="218441408"/>
        <c:axId val="0"/>
      </c:bar3DChart>
      <c:catAx>
        <c:axId val="21829734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8441408"/>
        <c:crosses val="autoZero"/>
        <c:auto val="1"/>
        <c:lblAlgn val="ctr"/>
        <c:lblOffset val="100"/>
        <c:noMultiLvlLbl val="0"/>
      </c:catAx>
      <c:valAx>
        <c:axId val="218441408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crossAx val="2182973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Resumen Total de Flujos Automatizados Cuenta de Nomina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'Resumen Total Movil'!$J$52:$L$52</c:f>
              <c:strCache>
                <c:ptCount val="3"/>
                <c:pt idx="0">
                  <c:v>Flujos Negativos</c:v>
                </c:pt>
                <c:pt idx="1">
                  <c:v>Flujos Alternos</c:v>
                </c:pt>
                <c:pt idx="2">
                  <c:v>Flujos Funcionales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DEBA-4221-8991-37FB32EFA0D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DEBA-4221-8991-37FB32EFA0D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DEBA-4221-8991-37FB32EFA0D1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Movil'!$J$2:$L$2</c:f>
              <c:strCache>
                <c:ptCount val="3"/>
                <c:pt idx="0">
                  <c:v>Flujos Negativos</c:v>
                </c:pt>
                <c:pt idx="1">
                  <c:v>Flujos Alternos</c:v>
                </c:pt>
                <c:pt idx="2">
                  <c:v>Flujos Funcionales</c:v>
                </c:pt>
              </c:strCache>
            </c:strRef>
          </c:cat>
          <c:val>
            <c:numRef>
              <c:f>'Resumen Total Movil'!$J$53:$L$53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BA-4221-8991-37FB32EFA0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cylinder"/>
        <c:axId val="218298368"/>
        <c:axId val="218443136"/>
        <c:axId val="0"/>
      </c:bar3DChart>
      <c:catAx>
        <c:axId val="2182983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218443136"/>
        <c:crosses val="autoZero"/>
        <c:auto val="1"/>
        <c:lblAlgn val="ctr"/>
        <c:lblOffset val="100"/>
        <c:noMultiLvlLbl val="0"/>
      </c:catAx>
      <c:valAx>
        <c:axId val="218443136"/>
        <c:scaling>
          <c:orientation val="minMax"/>
          <c:max val="1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crossAx val="2182983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VISIÓN</a:t>
            </a:r>
            <a:r>
              <a:rPr lang="es-CO" baseline="0"/>
              <a:t> GENERAL FLUJOS AUTO CUENTA DE NOMINA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A10-4A67-A1E5-28E59B3B4F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A10-4A67-A1E5-28E59B3B4F2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FA10-4A67-A1E5-28E59B3B4F2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FA10-4A67-A1E5-28E59B3B4F2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Movil'!$C$47:$G$47</c:f>
              <c:strCache>
                <c:ptCount val="5"/>
                <c:pt idx="0">
                  <c:v>Avance Modelo Negocio</c:v>
                </c:pt>
                <c:pt idx="1">
                  <c:v>Avance Modelo Tecnico</c:v>
                </c:pt>
                <c:pt idx="2">
                  <c:v>Avance Automatización Temprana</c:v>
                </c:pt>
                <c:pt idx="3">
                  <c:v>Avance Estructura Técnica</c:v>
                </c:pt>
                <c:pt idx="4">
                  <c:v>Avance Total</c:v>
                </c:pt>
              </c:strCache>
            </c:strRef>
          </c:cat>
          <c:val>
            <c:numRef>
              <c:f>'Resumen Total Movil'!$C$52:$G$52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10-4A67-A1E5-28E59B3B4F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18299904"/>
        <c:axId val="218444864"/>
        <c:axId val="0"/>
      </c:bar3DChart>
      <c:catAx>
        <c:axId val="218299904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18444864"/>
        <c:crosses val="autoZero"/>
        <c:auto val="1"/>
        <c:lblAlgn val="ctr"/>
        <c:lblOffset val="100"/>
        <c:noMultiLvlLbl val="0"/>
      </c:catAx>
      <c:valAx>
        <c:axId val="218444864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218299904"/>
        <c:crosses val="autoZero"/>
        <c:crossBetween val="between"/>
        <c:majorUnit val="0.2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Resumen Flujos Automatizados de Tarjeta de Credito Moviles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'Resumen Total Movil'!$J$93:$L$94</c:f>
              <c:multiLvlStrCache>
                <c:ptCount val="3"/>
                <c:lvl>
                  <c:pt idx="0">
                    <c:v>Flujos Negativos</c:v>
                  </c:pt>
                  <c:pt idx="1">
                    <c:v>Flujos Alternos</c:v>
                  </c:pt>
                  <c:pt idx="2">
                    <c:v>Flujos Funcionales</c:v>
                  </c:pt>
                </c:lvl>
                <c:lvl>
                  <c:pt idx="0">
                    <c:v>RESUMEN FLUJOS AUTO TARJETA DE CREDITO MOVIL</c:v>
                  </c:pt>
                </c:lvl>
              </c:multiLvlStrCache>
            </c:multiLvlStrRef>
          </c:cat>
          <c:val>
            <c:numRef>
              <c:f>'Resumen Total Movil'!$J$95:$L$95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88-427F-811E-24309C70EA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shape val="box"/>
        <c:axId val="218985472"/>
        <c:axId val="218446592"/>
        <c:axId val="0"/>
      </c:bar3DChart>
      <c:catAx>
        <c:axId val="21898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8446592"/>
        <c:crosses val="autoZero"/>
        <c:auto val="1"/>
        <c:lblAlgn val="ctr"/>
        <c:lblOffset val="100"/>
        <c:noMultiLvlLbl val="0"/>
      </c:catAx>
      <c:valAx>
        <c:axId val="21844659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8985472"/>
        <c:crosses val="autoZero"/>
        <c:crossBetween val="between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Resumen Total Flujos Automatizados Tarjeta de Crédito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'Resumen Total Movil'!$J$97:$L$98</c:f>
              <c:multiLvlStrCache>
                <c:ptCount val="3"/>
                <c:lvl>
                  <c:pt idx="0">
                    <c:v>Flujos Negativos</c:v>
                  </c:pt>
                  <c:pt idx="1">
                    <c:v>Flujos Alternos</c:v>
                  </c:pt>
                  <c:pt idx="2">
                    <c:v>Flujos Funcionales</c:v>
                  </c:pt>
                </c:lvl>
                <c:lvl>
                  <c:pt idx="0">
                    <c:v>RESUMEN FLUJOS AUTO TARJETA DE CREDITO</c:v>
                  </c:pt>
                </c:lvl>
              </c:multiLvlStrCache>
            </c:multiLvlStrRef>
          </c:cat>
          <c:val>
            <c:numRef>
              <c:f>'Resumen Total Movil'!$J$99:$L$99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AE-4441-A605-A4B0F02BA3E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shape val="box"/>
        <c:axId val="218986496"/>
        <c:axId val="218939968"/>
        <c:axId val="0"/>
      </c:bar3DChart>
      <c:catAx>
        <c:axId val="21898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8939968"/>
        <c:crosses val="autoZero"/>
        <c:auto val="1"/>
        <c:lblAlgn val="ctr"/>
        <c:lblOffset val="100"/>
        <c:noMultiLvlLbl val="0"/>
      </c:catAx>
      <c:valAx>
        <c:axId val="218939968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8986496"/>
        <c:crosses val="autoZero"/>
        <c:crossBetween val="between"/>
        <c:majorUnit val="0.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Avance Automatización Tarjeta de crédito</a:t>
            </a:r>
          </a:p>
        </c:rich>
      </c:tx>
      <c:overlay val="0"/>
      <c:spPr>
        <a:solidFill>
          <a:sysClr val="window" lastClr="FFFFFF"/>
        </a:solidFill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Total Movil'!$B$94</c:f>
              <c:strCache>
                <c:ptCount val="1"/>
                <c:pt idx="0">
                  <c:v>Android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Movil'!$C$93:$F$93</c:f>
              <c:strCache>
                <c:ptCount val="4"/>
                <c:pt idx="0">
                  <c:v>Avance Modelo Negocio</c:v>
                </c:pt>
                <c:pt idx="1">
                  <c:v>Avance Modelo Tecnico</c:v>
                </c:pt>
                <c:pt idx="2">
                  <c:v>Avance Automatización Temprana</c:v>
                </c:pt>
                <c:pt idx="3">
                  <c:v>Avance Estructura Técnica</c:v>
                </c:pt>
              </c:strCache>
            </c:strRef>
          </c:cat>
          <c:val>
            <c:numRef>
              <c:f>'Resumen Total Movil'!$C$94:$F$94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FE-4961-A068-DF4B347EED6D}"/>
            </c:ext>
          </c:extLst>
        </c:ser>
        <c:ser>
          <c:idx val="1"/>
          <c:order val="1"/>
          <c:tx>
            <c:strRef>
              <c:f>'Resumen Total Movil'!$B$95</c:f>
              <c:strCache>
                <c:ptCount val="1"/>
                <c:pt idx="0">
                  <c:v>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Movil'!$C$93:$F$93</c:f>
              <c:strCache>
                <c:ptCount val="4"/>
                <c:pt idx="0">
                  <c:v>Avance Modelo Negocio</c:v>
                </c:pt>
                <c:pt idx="1">
                  <c:v>Avance Modelo Tecnico</c:v>
                </c:pt>
                <c:pt idx="2">
                  <c:v>Avance Automatización Temprana</c:v>
                </c:pt>
                <c:pt idx="3">
                  <c:v>Avance Estructura Técnica</c:v>
                </c:pt>
              </c:strCache>
            </c:strRef>
          </c:cat>
          <c:val>
            <c:numRef>
              <c:f>'Resumen Total Movil'!$C$95:$F$95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FE-4961-A068-DF4B347EED6D}"/>
            </c:ext>
          </c:extLst>
        </c:ser>
        <c:ser>
          <c:idx val="2"/>
          <c:order val="2"/>
          <c:tx>
            <c:strRef>
              <c:f>'Resumen Total Movil'!$B$96</c:f>
              <c:strCache>
                <c:ptCount val="1"/>
                <c:pt idx="0">
                  <c:v>Tablet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Movil'!$C$93:$F$93</c:f>
              <c:strCache>
                <c:ptCount val="4"/>
                <c:pt idx="0">
                  <c:v>Avance Modelo Negocio</c:v>
                </c:pt>
                <c:pt idx="1">
                  <c:v>Avance Modelo Tecnico</c:v>
                </c:pt>
                <c:pt idx="2">
                  <c:v>Avance Automatización Temprana</c:v>
                </c:pt>
                <c:pt idx="3">
                  <c:v>Avance Estructura Técnica</c:v>
                </c:pt>
              </c:strCache>
            </c:strRef>
          </c:cat>
          <c:val>
            <c:numRef>
              <c:f>'Resumen Total Movil'!$C$96:$F$96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FE-4961-A068-DF4B347EED6D}"/>
            </c:ext>
          </c:extLst>
        </c:ser>
        <c:ser>
          <c:idx val="3"/>
          <c:order val="3"/>
          <c:tx>
            <c:strRef>
              <c:f>'Resumen Total Movil'!$B$97</c:f>
              <c:strCache>
                <c:ptCount val="1"/>
                <c:pt idx="0">
                  <c:v>Web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Movil'!$C$93:$F$93</c:f>
              <c:strCache>
                <c:ptCount val="4"/>
                <c:pt idx="0">
                  <c:v>Avance Modelo Negocio</c:v>
                </c:pt>
                <c:pt idx="1">
                  <c:v>Avance Modelo Tecnico</c:v>
                </c:pt>
                <c:pt idx="2">
                  <c:v>Avance Automatización Temprana</c:v>
                </c:pt>
                <c:pt idx="3">
                  <c:v>Avance Estructura Técnica</c:v>
                </c:pt>
              </c:strCache>
            </c:strRef>
          </c:cat>
          <c:val>
            <c:numRef>
              <c:f>'Resumen Total Movil'!$C$97:$F$97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7FE-4961-A068-DF4B347EED6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8988032"/>
        <c:axId val="218941696"/>
      </c:barChart>
      <c:catAx>
        <c:axId val="21898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8941696"/>
        <c:crosses val="autoZero"/>
        <c:auto val="1"/>
        <c:lblAlgn val="ctr"/>
        <c:lblOffset val="100"/>
        <c:noMultiLvlLbl val="0"/>
      </c:catAx>
      <c:valAx>
        <c:axId val="21894169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8988032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Avance Total Automatización Tarjeta de Credito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8E8-4A65-A6A3-0419511511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8E8-4A65-A6A3-04195115116D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5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9A75-48A6-B0AF-180CB9538CB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F8E8-4A65-A6A3-0419511511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'Resumen Total Movil'!$B$94:$B$98</c:f>
              <c:strCache>
                <c:ptCount val="5"/>
                <c:pt idx="0">
                  <c:v>Android</c:v>
                </c:pt>
                <c:pt idx="1">
                  <c:v>IOS</c:v>
                </c:pt>
                <c:pt idx="2">
                  <c:v>Tablet</c:v>
                </c:pt>
                <c:pt idx="3">
                  <c:v>Web</c:v>
                </c:pt>
                <c:pt idx="4">
                  <c:v>Total</c:v>
                </c:pt>
              </c:strCache>
            </c:strRef>
          </c:cat>
          <c:val>
            <c:numRef>
              <c:f>'Resumen Total Movil'!$G$94:$G$98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D5-4DFC-80BF-5B7171EF11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shape val="cylinder"/>
        <c:axId val="219195392"/>
        <c:axId val="218944000"/>
        <c:axId val="0"/>
      </c:bar3DChart>
      <c:catAx>
        <c:axId val="21919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8944000"/>
        <c:crosses val="autoZero"/>
        <c:auto val="1"/>
        <c:lblAlgn val="ctr"/>
        <c:lblOffset val="100"/>
        <c:noMultiLvlLbl val="0"/>
      </c:catAx>
      <c:valAx>
        <c:axId val="218944000"/>
        <c:scaling>
          <c:orientation val="minMax"/>
          <c:max val="1"/>
        </c:scaling>
        <c:delete val="0"/>
        <c:axPos val="l"/>
        <c:numFmt formatCode="0%" sourceLinked="0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s-CO"/>
          </a:p>
        </c:txPr>
        <c:crossAx val="219195392"/>
        <c:crosses val="autoZero"/>
        <c:crossBetween val="between"/>
        <c:majorUnit val="0.2"/>
      </c:valAx>
    </c:plotArea>
    <c:legend>
      <c:legendPos val="r"/>
      <c:overlay val="0"/>
      <c:txPr>
        <a:bodyPr rot="0" vert="horz"/>
        <a:lstStyle/>
        <a:p>
          <a:pPr>
            <a:defRPr/>
          </a:pPr>
          <a:endParaRPr lang="es-CO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VISIÓN</a:t>
            </a:r>
            <a:r>
              <a:rPr lang="es-CO" baseline="0"/>
              <a:t> GENERAL FLUJOS AUTO TARJETA DE CREDITO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A10-4A67-A1E5-28E59B3B4F2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FA10-4A67-A1E5-28E59B3B4F2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FA10-4A67-A1E5-28E59B3B4F2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FA10-4A67-A1E5-28E59B3B4F23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Movil'!$C$93:$G$93</c:f>
              <c:strCache>
                <c:ptCount val="5"/>
                <c:pt idx="0">
                  <c:v>Avance Modelo Negocio</c:v>
                </c:pt>
                <c:pt idx="1">
                  <c:v>Avance Modelo Tecnico</c:v>
                </c:pt>
                <c:pt idx="2">
                  <c:v>Avance Automatización Temprana</c:v>
                </c:pt>
                <c:pt idx="3">
                  <c:v>Avance Estructura Técnica</c:v>
                </c:pt>
                <c:pt idx="4">
                  <c:v>Avance Total</c:v>
                </c:pt>
              </c:strCache>
            </c:strRef>
          </c:cat>
          <c:val>
            <c:numRef>
              <c:f>'Resumen Total Movil'!$C$98:$G$98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10-4A67-A1E5-28E59B3B4F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18644480"/>
        <c:axId val="218945728"/>
        <c:axId val="0"/>
      </c:bar3DChart>
      <c:catAx>
        <c:axId val="21864448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18945728"/>
        <c:crosses val="autoZero"/>
        <c:auto val="1"/>
        <c:lblAlgn val="ctr"/>
        <c:lblOffset val="100"/>
        <c:noMultiLvlLbl val="0"/>
      </c:catAx>
      <c:valAx>
        <c:axId val="218945728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218644480"/>
        <c:crosses val="autoZero"/>
        <c:crossBetween val="between"/>
        <c:majorUnit val="0.2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Resumen Automatización Onboarding Tobe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Total Movil'!$R$3</c:f>
              <c:strCache>
                <c:ptCount val="1"/>
                <c:pt idx="0">
                  <c:v>Flujos Negativos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Movil'!$S$2:$V$2</c:f>
              <c:strCache>
                <c:ptCount val="4"/>
                <c:pt idx="0">
                  <c:v>Credito Personal</c:v>
                </c:pt>
                <c:pt idx="1">
                  <c:v>TC</c:v>
                </c:pt>
                <c:pt idx="2">
                  <c:v>Nomina</c:v>
                </c:pt>
                <c:pt idx="3">
                  <c:v>Ahorros</c:v>
                </c:pt>
              </c:strCache>
            </c:strRef>
          </c:cat>
          <c:val>
            <c:numRef>
              <c:f>'Resumen Total Movil'!$S$3:$V$3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A-4FC2-95AD-771DEAF7B0C3}"/>
            </c:ext>
          </c:extLst>
        </c:ser>
        <c:ser>
          <c:idx val="1"/>
          <c:order val="1"/>
          <c:tx>
            <c:strRef>
              <c:f>'Resumen Total Movil'!$R$4</c:f>
              <c:strCache>
                <c:ptCount val="1"/>
                <c:pt idx="0">
                  <c:v>Flujos Alternos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Movil'!$S$2:$V$2</c:f>
              <c:strCache>
                <c:ptCount val="4"/>
                <c:pt idx="0">
                  <c:v>Credito Personal</c:v>
                </c:pt>
                <c:pt idx="1">
                  <c:v>TC</c:v>
                </c:pt>
                <c:pt idx="2">
                  <c:v>Nomina</c:v>
                </c:pt>
                <c:pt idx="3">
                  <c:v>Ahorros</c:v>
                </c:pt>
              </c:strCache>
            </c:strRef>
          </c:cat>
          <c:val>
            <c:numRef>
              <c:f>'Resumen Total Movil'!$S$4:$V$4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EA-4FC2-95AD-771DEAF7B0C3}"/>
            </c:ext>
          </c:extLst>
        </c:ser>
        <c:ser>
          <c:idx val="2"/>
          <c:order val="2"/>
          <c:tx>
            <c:strRef>
              <c:f>'Resumen Total Movil'!$R$5</c:f>
              <c:strCache>
                <c:ptCount val="1"/>
                <c:pt idx="0">
                  <c:v>Flujos Funcionales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Movil'!$S$2:$V$2</c:f>
              <c:strCache>
                <c:ptCount val="4"/>
                <c:pt idx="0">
                  <c:v>Credito Personal</c:v>
                </c:pt>
                <c:pt idx="1">
                  <c:v>TC</c:v>
                </c:pt>
                <c:pt idx="2">
                  <c:v>Nomina</c:v>
                </c:pt>
                <c:pt idx="3">
                  <c:v>Ahorros</c:v>
                </c:pt>
              </c:strCache>
            </c:strRef>
          </c:cat>
          <c:val>
            <c:numRef>
              <c:f>'Resumen Total Movil'!$S$5:$V$5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0EA-4FC2-95AD-771DEAF7B0C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3771008"/>
        <c:axId val="151540224"/>
      </c:barChart>
      <c:catAx>
        <c:axId val="1537710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1540224"/>
        <c:crosses val="autoZero"/>
        <c:auto val="1"/>
        <c:lblAlgn val="ctr"/>
        <c:lblOffset val="100"/>
        <c:noMultiLvlLbl val="0"/>
      </c:catAx>
      <c:valAx>
        <c:axId val="151540224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15377100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Resumen Automatización Onboarding Tobe</a:t>
            </a:r>
            <a:endParaRPr lang="es-CO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Total Movil'!$Z$3</c:f>
              <c:strCache>
                <c:ptCount val="1"/>
                <c:pt idx="0">
                  <c:v>Flujos Negativos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Movil'!$AA$2:$AE$2</c:f>
              <c:strCache>
                <c:ptCount val="5"/>
                <c:pt idx="0">
                  <c:v>Credito Personal CE</c:v>
                </c:pt>
                <c:pt idx="1">
                  <c:v>TC CE</c:v>
                </c:pt>
                <c:pt idx="2">
                  <c:v>Nomina CE</c:v>
                </c:pt>
                <c:pt idx="3">
                  <c:v>Ahorros CE</c:v>
                </c:pt>
                <c:pt idx="4">
                  <c:v>Credito Rotativo CE</c:v>
                </c:pt>
              </c:strCache>
            </c:strRef>
          </c:cat>
          <c:val>
            <c:numRef>
              <c:f>'Resumen Total Movil'!$AA$3:$AE$3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91-734A-984F-FA9BF8A13C39}"/>
            </c:ext>
          </c:extLst>
        </c:ser>
        <c:ser>
          <c:idx val="1"/>
          <c:order val="1"/>
          <c:tx>
            <c:strRef>
              <c:f>'Resumen Total Movil'!$Z$4</c:f>
              <c:strCache>
                <c:ptCount val="1"/>
                <c:pt idx="0">
                  <c:v>Flujos Alternos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Movil'!$AA$2:$AE$2</c:f>
              <c:strCache>
                <c:ptCount val="5"/>
                <c:pt idx="0">
                  <c:v>Credito Personal CE</c:v>
                </c:pt>
                <c:pt idx="1">
                  <c:v>TC CE</c:v>
                </c:pt>
                <c:pt idx="2">
                  <c:v>Nomina CE</c:v>
                </c:pt>
                <c:pt idx="3">
                  <c:v>Ahorros CE</c:v>
                </c:pt>
                <c:pt idx="4">
                  <c:v>Credito Rotativo CE</c:v>
                </c:pt>
              </c:strCache>
            </c:strRef>
          </c:cat>
          <c:val>
            <c:numRef>
              <c:f>'Resumen Total Movil'!$AA$4:$AE$4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91-734A-984F-FA9BF8A13C39}"/>
            </c:ext>
          </c:extLst>
        </c:ser>
        <c:ser>
          <c:idx val="2"/>
          <c:order val="2"/>
          <c:tx>
            <c:strRef>
              <c:f>'Resumen Total Movil'!$Z$5</c:f>
              <c:strCache>
                <c:ptCount val="1"/>
                <c:pt idx="0">
                  <c:v>Flujos Funcionales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Movil'!$AA$2:$AE$2</c:f>
              <c:strCache>
                <c:ptCount val="5"/>
                <c:pt idx="0">
                  <c:v>Credito Personal CE</c:v>
                </c:pt>
                <c:pt idx="1">
                  <c:v>TC CE</c:v>
                </c:pt>
                <c:pt idx="2">
                  <c:v>Nomina CE</c:v>
                </c:pt>
                <c:pt idx="3">
                  <c:v>Ahorros CE</c:v>
                </c:pt>
                <c:pt idx="4">
                  <c:v>Credito Rotativo CE</c:v>
                </c:pt>
              </c:strCache>
            </c:strRef>
          </c:cat>
          <c:val>
            <c:numRef>
              <c:f>'Resumen Total Movil'!$AA$5:$AE$5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91-734A-984F-FA9BF8A13C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3771008"/>
        <c:axId val="151540224"/>
      </c:barChart>
      <c:catAx>
        <c:axId val="1537710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1540224"/>
        <c:crosses val="autoZero"/>
        <c:auto val="1"/>
        <c:lblAlgn val="ctr"/>
        <c:lblOffset val="100"/>
        <c:noMultiLvlLbl val="0"/>
      </c:catAx>
      <c:valAx>
        <c:axId val="151540224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15377100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Resumen Automatización Onboarding Cliente Nuevo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Total Movil'!$R$3</c:f>
              <c:strCache>
                <c:ptCount val="1"/>
                <c:pt idx="0">
                  <c:v>Flujos Negativos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Movil'!$S$2:$V$2</c:f>
              <c:strCache>
                <c:ptCount val="4"/>
                <c:pt idx="0">
                  <c:v>Credito Personal</c:v>
                </c:pt>
                <c:pt idx="1">
                  <c:v>TC</c:v>
                </c:pt>
                <c:pt idx="2">
                  <c:v>Nomina</c:v>
                </c:pt>
                <c:pt idx="3">
                  <c:v>Ahorros</c:v>
                </c:pt>
              </c:strCache>
            </c:strRef>
          </c:cat>
          <c:val>
            <c:numRef>
              <c:f>'Resumen Total Movil'!$S$3:$V$3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56-4CCE-B74E-4C5A3AC448B4}"/>
            </c:ext>
          </c:extLst>
        </c:ser>
        <c:ser>
          <c:idx val="1"/>
          <c:order val="1"/>
          <c:tx>
            <c:strRef>
              <c:f>'Resumen Total Movil'!$R$4</c:f>
              <c:strCache>
                <c:ptCount val="1"/>
                <c:pt idx="0">
                  <c:v>Flujos Alternos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Movil'!$S$2:$V$2</c:f>
              <c:strCache>
                <c:ptCount val="4"/>
                <c:pt idx="0">
                  <c:v>Credito Personal</c:v>
                </c:pt>
                <c:pt idx="1">
                  <c:v>TC</c:v>
                </c:pt>
                <c:pt idx="2">
                  <c:v>Nomina</c:v>
                </c:pt>
                <c:pt idx="3">
                  <c:v>Ahorros</c:v>
                </c:pt>
              </c:strCache>
            </c:strRef>
          </c:cat>
          <c:val>
            <c:numRef>
              <c:f>'Resumen Total Movil'!$S$4:$V$4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56-4CCE-B74E-4C5A3AC448B4}"/>
            </c:ext>
          </c:extLst>
        </c:ser>
        <c:ser>
          <c:idx val="2"/>
          <c:order val="2"/>
          <c:tx>
            <c:strRef>
              <c:f>'Resumen Total Movil'!$R$5</c:f>
              <c:strCache>
                <c:ptCount val="1"/>
                <c:pt idx="0">
                  <c:v>Flujos Funcionales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Movil'!$S$2:$V$2</c:f>
              <c:strCache>
                <c:ptCount val="4"/>
                <c:pt idx="0">
                  <c:v>Credito Personal</c:v>
                </c:pt>
                <c:pt idx="1">
                  <c:v>TC</c:v>
                </c:pt>
                <c:pt idx="2">
                  <c:v>Nomina</c:v>
                </c:pt>
                <c:pt idx="3">
                  <c:v>Ahorros</c:v>
                </c:pt>
              </c:strCache>
            </c:strRef>
          </c:cat>
          <c:val>
            <c:numRef>
              <c:f>'Resumen Total Movil'!$S$5:$V$5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56-4CCE-B74E-4C5A3AC448B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7244672"/>
        <c:axId val="137159232"/>
      </c:barChart>
      <c:catAx>
        <c:axId val="137244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7159232"/>
        <c:crosses val="autoZero"/>
        <c:auto val="1"/>
        <c:lblAlgn val="ctr"/>
        <c:lblOffset val="100"/>
        <c:noMultiLvlLbl val="0"/>
      </c:catAx>
      <c:valAx>
        <c:axId val="137159232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137244672"/>
        <c:crosses val="autoZero"/>
        <c:crossBetween val="between"/>
        <c:majorUnit val="0.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Avance Ayer Automatización TC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Graficas!$B$25</c:f>
              <c:strCache>
                <c:ptCount val="1"/>
                <c:pt idx="0">
                  <c:v>Estimado, 2 flujos E2E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4669924767543299E-2"/>
                  <c:y val="3.49854120320433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39-423D-B900-FA17A05136C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Graficas!$C$24</c:f>
              <c:numCache>
                <c:formatCode>m/d/yy</c:formatCode>
                <c:ptCount val="1"/>
                <c:pt idx="0">
                  <c:v>44245</c:v>
                </c:pt>
              </c:numCache>
            </c:numRef>
          </c:cat>
          <c:val>
            <c:numRef>
              <c:f>Graficas!$C$25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39-423D-B900-FA17A05136C3}"/>
            </c:ext>
          </c:extLst>
        </c:ser>
        <c:ser>
          <c:idx val="1"/>
          <c:order val="1"/>
          <c:tx>
            <c:strRef>
              <c:f>Graficas!$D$24</c:f>
              <c:strCache>
                <c:ptCount val="1"/>
                <c:pt idx="0">
                  <c:v>Real, en progreso 6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1.140994148586701E-2"/>
                  <c:y val="1.9436340017801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39-423D-B900-FA17A05136C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Graficas!$D$25</c:f>
              <c:numCache>
                <c:formatCode>0%</c:formatCode>
                <c:ptCount val="1"/>
                <c:pt idx="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39-423D-B900-FA17A05136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6625792"/>
        <c:axId val="235703680"/>
        <c:axId val="0"/>
      </c:bar3DChart>
      <c:dateAx>
        <c:axId val="166625792"/>
        <c:scaling>
          <c:orientation val="minMax"/>
        </c:scaling>
        <c:delete val="0"/>
        <c:axPos val="l"/>
        <c:numFmt formatCode="m/d/yy" sourceLinked="1"/>
        <c:majorTickMark val="out"/>
        <c:minorTickMark val="none"/>
        <c:tickLblPos val="nextTo"/>
        <c:crossAx val="235703680"/>
        <c:crosses val="autoZero"/>
        <c:auto val="1"/>
        <c:lblOffset val="100"/>
        <c:baseTimeUnit val="days"/>
      </c:dateAx>
      <c:valAx>
        <c:axId val="235703680"/>
        <c:scaling>
          <c:orientation val="minMax"/>
          <c:max val="1"/>
        </c:scaling>
        <c:delete val="0"/>
        <c:axPos val="b"/>
        <c:numFmt formatCode="0%" sourceLinked="1"/>
        <c:majorTickMark val="out"/>
        <c:minorTickMark val="none"/>
        <c:tickLblPos val="nextTo"/>
        <c:crossAx val="166625792"/>
        <c:crosses val="autoZero"/>
        <c:crossBetween val="between"/>
        <c:majorUnit val="0.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Avance Automatización Crédito Personal</a:t>
            </a:r>
            <a:endParaRPr lang="en-US">
              <a:effectLst/>
            </a:endParaRP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Graficas!$B$43</c:f>
              <c:strCache>
                <c:ptCount val="1"/>
                <c:pt idx="0">
                  <c:v>Estimado, 2 flujos E2E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80952380952380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DBF-4F45-AEFB-580BB349AE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Graficas!$C$42</c:f>
              <c:numCache>
                <c:formatCode>m/d/yy</c:formatCode>
                <c:ptCount val="1"/>
                <c:pt idx="0">
                  <c:v>44889</c:v>
                </c:pt>
              </c:numCache>
            </c:numRef>
          </c:cat>
          <c:val>
            <c:numRef>
              <c:f>Graficas!$C$43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BF-4F45-AEFB-580BB349AEE5}"/>
            </c:ext>
          </c:extLst>
        </c:ser>
        <c:ser>
          <c:idx val="1"/>
          <c:order val="1"/>
          <c:tx>
            <c:strRef>
              <c:f>Graficas!$D$42</c:f>
              <c:strCache>
                <c:ptCount val="1"/>
                <c:pt idx="0">
                  <c:v>Real, Se culmina estabilización flujos funcionales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3.492063492063492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BF-4F45-AEFB-580BB349AEE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Graficas!$D$43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BF-4F45-AEFB-580BB349AE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9059328"/>
        <c:axId val="218620480"/>
        <c:axId val="0"/>
      </c:bar3DChart>
      <c:dateAx>
        <c:axId val="169059328"/>
        <c:scaling>
          <c:orientation val="minMax"/>
        </c:scaling>
        <c:delete val="0"/>
        <c:axPos val="l"/>
        <c:numFmt formatCode="m/d/yy" sourceLinked="1"/>
        <c:majorTickMark val="out"/>
        <c:minorTickMark val="none"/>
        <c:tickLblPos val="nextTo"/>
        <c:crossAx val="218620480"/>
        <c:crosses val="autoZero"/>
        <c:auto val="1"/>
        <c:lblOffset val="100"/>
        <c:baseTimeUnit val="days"/>
      </c:dateAx>
      <c:valAx>
        <c:axId val="218620480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169059328"/>
        <c:crosses val="autoZero"/>
        <c:crossBetween val="between"/>
        <c:majorUnit val="0.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 sz="1800" b="1" i="0" baseline="0">
                <a:effectLst/>
              </a:rPr>
              <a:t>Resumen Automatización Onboarding Cliente Existente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Total Movil'!$Z$3</c:f>
              <c:strCache>
                <c:ptCount val="1"/>
                <c:pt idx="0">
                  <c:v>Flujos Negativos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Movil'!$AA$2:$AE$2</c:f>
              <c:strCache>
                <c:ptCount val="5"/>
                <c:pt idx="0">
                  <c:v>Credito Personal CE</c:v>
                </c:pt>
                <c:pt idx="1">
                  <c:v>TC CE</c:v>
                </c:pt>
                <c:pt idx="2">
                  <c:v>Nomina CE</c:v>
                </c:pt>
                <c:pt idx="3">
                  <c:v>Ahorros CE</c:v>
                </c:pt>
                <c:pt idx="4">
                  <c:v>Credito Rotativo CE</c:v>
                </c:pt>
              </c:strCache>
            </c:strRef>
          </c:cat>
          <c:val>
            <c:numRef>
              <c:f>'Resumen Total Movil'!$AA$3:$AE$3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8-074E-9900-228E4FDEE210}"/>
            </c:ext>
          </c:extLst>
        </c:ser>
        <c:ser>
          <c:idx val="1"/>
          <c:order val="1"/>
          <c:tx>
            <c:strRef>
              <c:f>'Resumen Total Movil'!$Z$4</c:f>
              <c:strCache>
                <c:ptCount val="1"/>
                <c:pt idx="0">
                  <c:v>Flujos Alternos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Movil'!$AA$2:$AE$2</c:f>
              <c:strCache>
                <c:ptCount val="5"/>
                <c:pt idx="0">
                  <c:v>Credito Personal CE</c:v>
                </c:pt>
                <c:pt idx="1">
                  <c:v>TC CE</c:v>
                </c:pt>
                <c:pt idx="2">
                  <c:v>Nomina CE</c:v>
                </c:pt>
                <c:pt idx="3">
                  <c:v>Ahorros CE</c:v>
                </c:pt>
                <c:pt idx="4">
                  <c:v>Credito Rotativo CE</c:v>
                </c:pt>
              </c:strCache>
            </c:strRef>
          </c:cat>
          <c:val>
            <c:numRef>
              <c:f>'Resumen Total Movil'!$AA$4:$AE$4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F8-074E-9900-228E4FDEE210}"/>
            </c:ext>
          </c:extLst>
        </c:ser>
        <c:ser>
          <c:idx val="2"/>
          <c:order val="2"/>
          <c:tx>
            <c:strRef>
              <c:f>'Resumen Total Movil'!$Z$5</c:f>
              <c:strCache>
                <c:ptCount val="1"/>
                <c:pt idx="0">
                  <c:v>Flujos Funcionales</c:v>
                </c:pt>
              </c:strCache>
            </c:strRef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'Resumen Total Movil'!$AA$2:$AE$2</c:f>
              <c:strCache>
                <c:ptCount val="5"/>
                <c:pt idx="0">
                  <c:v>Credito Personal CE</c:v>
                </c:pt>
                <c:pt idx="1">
                  <c:v>TC CE</c:v>
                </c:pt>
                <c:pt idx="2">
                  <c:v>Nomina CE</c:v>
                </c:pt>
                <c:pt idx="3">
                  <c:v>Ahorros CE</c:v>
                </c:pt>
                <c:pt idx="4">
                  <c:v>Credito Rotativo CE</c:v>
                </c:pt>
              </c:strCache>
            </c:strRef>
          </c:cat>
          <c:val>
            <c:numRef>
              <c:f>'Resumen Total Movil'!$AA$5:$AE$5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F8-074E-9900-228E4FDEE21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3771008"/>
        <c:axId val="151540224"/>
      </c:barChart>
      <c:catAx>
        <c:axId val="1537710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51540224"/>
        <c:crosses val="autoZero"/>
        <c:auto val="1"/>
        <c:lblAlgn val="ctr"/>
        <c:lblOffset val="100"/>
        <c:noMultiLvlLbl val="0"/>
      </c:catAx>
      <c:valAx>
        <c:axId val="151540224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153771008"/>
        <c:crosses val="autoZero"/>
        <c:crossBetween val="between"/>
        <c:majorUnit val="0.2"/>
        <c:minorUnit val="4.0000000000000008E-2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Avance</a:t>
            </a:r>
            <a:r>
              <a:rPr lang="es-CO" baseline="0"/>
              <a:t> Diario Auto Temprana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'Flujos Automatizados Movil'!$F$2:$F$3</c:f>
              <c:strCache>
                <c:ptCount val="2"/>
                <c:pt idx="0">
                  <c:v>Modelo de Negocio</c:v>
                </c:pt>
              </c:strCache>
            </c:strRef>
          </c:tx>
          <c:invertIfNegative val="0"/>
          <c:val>
            <c:numRef>
              <c:f>'Flujos Automatizados Movil'!$F$4:$F$8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9-4944-ACC4-2325C2E6FB38}"/>
            </c:ext>
          </c:extLst>
        </c:ser>
        <c:ser>
          <c:idx val="1"/>
          <c:order val="1"/>
          <c:tx>
            <c:strRef>
              <c:f>'Flujos Automatizados Movil'!$G$2:$G$3</c:f>
              <c:strCache>
                <c:ptCount val="2"/>
                <c:pt idx="0">
                  <c:v>Modelado Tecnico</c:v>
                </c:pt>
              </c:strCache>
            </c:strRef>
          </c:tx>
          <c:invertIfNegative val="0"/>
          <c:val>
            <c:numRef>
              <c:f>'Flujos Automatizados Movil'!$G$4:$G$8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9-4944-ACC4-2325C2E6FB38}"/>
            </c:ext>
          </c:extLst>
        </c:ser>
        <c:ser>
          <c:idx val="2"/>
          <c:order val="2"/>
          <c:tx>
            <c:strRef>
              <c:f>'Flujos Automatizados Movil'!$J$2:$J$3</c:f>
              <c:strCache>
                <c:ptCount val="2"/>
                <c:pt idx="0">
                  <c:v>Mapeo Objetos Android</c:v>
                </c:pt>
              </c:strCache>
            </c:strRef>
          </c:tx>
          <c:invertIfNegative val="0"/>
          <c:val>
            <c:numRef>
              <c:f>'Flujos Automatizados Movil'!$J$4:$J$8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9-4944-ACC4-2325C2E6FB38}"/>
            </c:ext>
          </c:extLst>
        </c:ser>
        <c:ser>
          <c:idx val="3"/>
          <c:order val="3"/>
          <c:tx>
            <c:strRef>
              <c:f>'Flujos Automatizados Movil'!$H$2:$H$3</c:f>
              <c:strCache>
                <c:ptCount val="2"/>
                <c:pt idx="0">
                  <c:v>% Avance Auto Temprana</c:v>
                </c:pt>
              </c:strCache>
            </c:strRef>
          </c:tx>
          <c:invertIfNegative val="0"/>
          <c:val>
            <c:numRef>
              <c:f>'Flujos Automatizados Movil'!$H$4:$H$8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9-4944-ACC4-2325C2E6F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9437568"/>
        <c:axId val="218626816"/>
        <c:axId val="0"/>
      </c:bar3DChart>
      <c:catAx>
        <c:axId val="219437568"/>
        <c:scaling>
          <c:orientation val="minMax"/>
        </c:scaling>
        <c:delete val="1"/>
        <c:axPos val="b"/>
        <c:majorTickMark val="out"/>
        <c:minorTickMark val="none"/>
        <c:tickLblPos val="nextTo"/>
        <c:crossAx val="218626816"/>
        <c:crosses val="autoZero"/>
        <c:auto val="1"/>
        <c:lblAlgn val="ctr"/>
        <c:lblOffset val="100"/>
        <c:noMultiLvlLbl val="0"/>
      </c:catAx>
      <c:valAx>
        <c:axId val="21862681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19437568"/>
        <c:crosses val="autoZero"/>
        <c:crossBetween val="between"/>
      </c:valAx>
      <c:dTable>
        <c:showHorzBorder val="0"/>
        <c:showVertBorder val="0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Estabilización Diaria Por Tecnologías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'Flujos Automatizados Movil'!$K$3</c:f>
              <c:strCache>
                <c:ptCount val="1"/>
                <c:pt idx="0">
                  <c:v>Android</c:v>
                </c:pt>
              </c:strCache>
            </c:strRef>
          </c:tx>
          <c:invertIfNegative val="0"/>
          <c:val>
            <c:numRef>
              <c:f>'Flujos Automatizados Movil'!$K$4:$K$8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8-4AFB-9BB3-9FD61378EB79}"/>
            </c:ext>
          </c:extLst>
        </c:ser>
        <c:ser>
          <c:idx val="1"/>
          <c:order val="1"/>
          <c:tx>
            <c:strRef>
              <c:f>'Flujos Automatizados Movil'!$L$3</c:f>
              <c:strCache>
                <c:ptCount val="1"/>
                <c:pt idx="0">
                  <c:v>IOS</c:v>
                </c:pt>
              </c:strCache>
            </c:strRef>
          </c:tx>
          <c:invertIfNegative val="0"/>
          <c:val>
            <c:numRef>
              <c:f>'Flujos Automatizados Movil'!$L$4:$L$8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A8-4AFB-9BB3-9FD61378EB79}"/>
            </c:ext>
          </c:extLst>
        </c:ser>
        <c:ser>
          <c:idx val="2"/>
          <c:order val="2"/>
          <c:tx>
            <c:strRef>
              <c:f>'Flujos Automatizados Movil'!#REF!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'Flujos Automatizados Movil'!#REF!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8-4AFB-9BB3-9FD61378EB79}"/>
            </c:ext>
          </c:extLst>
        </c:ser>
        <c:ser>
          <c:idx val="3"/>
          <c:order val="3"/>
          <c:tx>
            <c:strRef>
              <c:f>'Flujos Automatizados Movil'!#REF!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'Flujos Automatizados Movil'!#REF!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A8-4AFB-9BB3-9FD61378E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16229376"/>
        <c:axId val="219563136"/>
        <c:axId val="0"/>
      </c:bar3DChart>
      <c:catAx>
        <c:axId val="216229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19563136"/>
        <c:crosses val="autoZero"/>
        <c:auto val="1"/>
        <c:lblAlgn val="ctr"/>
        <c:lblOffset val="100"/>
        <c:noMultiLvlLbl val="0"/>
      </c:catAx>
      <c:valAx>
        <c:axId val="219563136"/>
        <c:scaling>
          <c:orientation val="minMax"/>
        </c:scaling>
        <c:delete val="0"/>
        <c:axPos val="l"/>
        <c:numFmt formatCode="0%" sourceLinked="1"/>
        <c:majorTickMark val="out"/>
        <c:minorTickMark val="none"/>
        <c:tickLblPos val="nextTo"/>
        <c:crossAx val="216229376"/>
        <c:crosses val="autoZero"/>
        <c:crossBetween val="between"/>
      </c:valAx>
      <c:dTable>
        <c:showHorzBorder val="0"/>
        <c:showVertBorder val="0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Resumen Diario Avance Total Por Tecnología (Modelo de Negocio, Tecnico y Mapeo de Objetos)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'Flujos Automatizados Movil'!$O$2:$O$3</c:f>
              <c:strCache>
                <c:ptCount val="2"/>
                <c:pt idx="0">
                  <c:v>Avance Android</c:v>
                </c:pt>
              </c:strCache>
            </c:strRef>
          </c:tx>
          <c:invertIfNegative val="0"/>
          <c:val>
            <c:numRef>
              <c:f>'Flujos Automatizados Movil'!$O$4:$O$10</c:f>
              <c:numCache>
                <c:formatCode>0%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56-4B3A-87E5-06AD226C017C}"/>
            </c:ext>
          </c:extLst>
        </c:ser>
        <c:ser>
          <c:idx val="0"/>
          <c:order val="1"/>
          <c:tx>
            <c:strRef>
              <c:f>'Flujos Automatizados Movil'!$P$2:$P$3</c:f>
              <c:strCache>
                <c:ptCount val="2"/>
                <c:pt idx="0">
                  <c:v>Avance IOS</c:v>
                </c:pt>
              </c:strCache>
            </c:strRef>
          </c:tx>
          <c:invertIfNegative val="0"/>
          <c:val>
            <c:numRef>
              <c:f>'Flujos Automatizados Movil'!$P$4:$P$10</c:f>
              <c:numCache>
                <c:formatCode>0%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  <c:pt idx="5">
                  <c:v>0.46666666666666662</c:v>
                </c:pt>
                <c:pt idx="6">
                  <c:v>0.98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56-4B3A-87E5-06AD226C017C}"/>
            </c:ext>
          </c:extLst>
        </c:ser>
        <c:ser>
          <c:idx val="2"/>
          <c:order val="2"/>
          <c:tx>
            <c:strRef>
              <c:f>'Flujos Automatizados Movil'!#REF!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'Flujos Automatizados Movil'!#REF!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56-4B3A-87E5-06AD226C017C}"/>
            </c:ext>
          </c:extLst>
        </c:ser>
        <c:ser>
          <c:idx val="3"/>
          <c:order val="3"/>
          <c:tx>
            <c:strRef>
              <c:f>'Flujos Automatizados Movil'!#REF!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'Flujos Automatizados Movil'!#REF!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56-4B3A-87E5-06AD226C0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456448"/>
        <c:axId val="219565440"/>
      </c:barChart>
      <c:catAx>
        <c:axId val="196456448"/>
        <c:scaling>
          <c:orientation val="minMax"/>
        </c:scaling>
        <c:delete val="0"/>
        <c:axPos val="b"/>
        <c:majorTickMark val="out"/>
        <c:minorTickMark val="none"/>
        <c:tickLblPos val="nextTo"/>
        <c:crossAx val="219565440"/>
        <c:crosses val="autoZero"/>
        <c:auto val="1"/>
        <c:lblAlgn val="ctr"/>
        <c:lblOffset val="100"/>
        <c:noMultiLvlLbl val="0"/>
      </c:catAx>
      <c:valAx>
        <c:axId val="219565440"/>
        <c:scaling>
          <c:orientation val="minMax"/>
          <c:max val="1"/>
        </c:scaling>
        <c:delete val="0"/>
        <c:axPos val="l"/>
        <c:numFmt formatCode="0%" sourceLinked="1"/>
        <c:majorTickMark val="out"/>
        <c:minorTickMark val="none"/>
        <c:tickLblPos val="nextTo"/>
        <c:crossAx val="196456448"/>
        <c:crosses val="autoZero"/>
        <c:crossBetween val="between"/>
      </c:valAx>
      <c:dTable>
        <c:showHorzBorder val="0"/>
        <c:showVertBorder val="0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Avance Total </a:t>
            </a:r>
            <a:r>
              <a:rPr lang="en-US" baseline="0"/>
              <a:t>Dispositivos</a:t>
            </a:r>
            <a:r>
              <a:rPr lang="en-US"/>
              <a:t> Móviles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'Flujos Automatizados Movil'!$Q$2:$Q$3</c:f>
              <c:strCache>
                <c:ptCount val="2"/>
                <c:pt idx="0">
                  <c:v>Avance Total Móvil</c:v>
                </c:pt>
              </c:strCache>
            </c:strRef>
          </c:tx>
          <c:invertIfNegative val="0"/>
          <c:val>
            <c:numRef>
              <c:f>'Flujos Automatizados Movil'!$Q$4:$Q$10</c:f>
              <c:numCache>
                <c:formatCode>0%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0.73333333333333328</c:v>
                </c:pt>
                <c:pt idx="6">
                  <c:v>0.99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7-4F65-9825-BD241D2D5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460032"/>
        <c:axId val="219567744"/>
      </c:barChart>
      <c:catAx>
        <c:axId val="19646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219567744"/>
        <c:crosses val="autoZero"/>
        <c:auto val="1"/>
        <c:lblAlgn val="ctr"/>
        <c:lblOffset val="100"/>
        <c:noMultiLvlLbl val="0"/>
      </c:catAx>
      <c:valAx>
        <c:axId val="219567744"/>
        <c:scaling>
          <c:orientation val="minMax"/>
          <c:max val="1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crossAx val="19646003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17" Type="http://schemas.openxmlformats.org/officeDocument/2006/relationships/chart" Target="../charts/chart18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933450</xdr:colOff>
      <xdr:row>6</xdr:row>
      <xdr:rowOff>120650</xdr:rowOff>
    </xdr:from>
    <xdr:to>
      <xdr:col>5</xdr:col>
      <xdr:colOff>158750</xdr:colOff>
      <xdr:row>21</xdr:row>
      <xdr:rowOff>6350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2EC4B0B-E4CD-1853-B1FD-BB638E561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8</xdr:row>
      <xdr:rowOff>19049</xdr:rowOff>
    </xdr:from>
    <xdr:to>
      <xdr:col>4</xdr:col>
      <xdr:colOff>1657351</xdr:colOff>
      <xdr:row>24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26</xdr:row>
      <xdr:rowOff>0</xdr:rowOff>
    </xdr:from>
    <xdr:to>
      <xdr:col>4</xdr:col>
      <xdr:colOff>1419225</xdr:colOff>
      <xdr:row>43</xdr:row>
      <xdr:rowOff>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  <a:ext uri="{147F2762-F138-4A5C-976F-8EAC2B608ADB}">
              <a16:predDERef xmlns:a16="http://schemas.microsoft.com/office/drawing/2014/main" pre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2286000</xdr:colOff>
      <xdr:row>7</xdr:row>
      <xdr:rowOff>171450</xdr:rowOff>
    </xdr:from>
    <xdr:to>
      <xdr:col>9</xdr:col>
      <xdr:colOff>1019175</xdr:colOff>
      <xdr:row>24</xdr:row>
      <xdr:rowOff>133350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100-000007000000}"/>
            </a:ext>
            <a:ext uri="{147F2762-F138-4A5C-976F-8EAC2B608ADB}">
              <a16:predDERef xmlns:a16="http://schemas.microsoft.com/office/drawing/2014/main" pre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2295525</xdr:colOff>
      <xdr:row>25</xdr:row>
      <xdr:rowOff>171450</xdr:rowOff>
    </xdr:from>
    <xdr:to>
      <xdr:col>9</xdr:col>
      <xdr:colOff>1028700</xdr:colOff>
      <xdr:row>42</xdr:row>
      <xdr:rowOff>133350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100-000008000000}"/>
            </a:ext>
            <a:ext uri="{147F2762-F138-4A5C-976F-8EAC2B608ADB}">
              <a16:predDERef xmlns:a16="http://schemas.microsoft.com/office/drawing/2014/main" pre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247650</xdr:colOff>
      <xdr:row>7</xdr:row>
      <xdr:rowOff>180975</xdr:rowOff>
    </xdr:from>
    <xdr:to>
      <xdr:col>16</xdr:col>
      <xdr:colOff>342900</xdr:colOff>
      <xdr:row>26</xdr:row>
      <xdr:rowOff>142874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100-000003000000}"/>
            </a:ext>
            <a:ext uri="{147F2762-F138-4A5C-976F-8EAC2B608ADB}">
              <a16:predDERef xmlns:a16="http://schemas.microsoft.com/office/drawing/2014/main" pre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209549</xdr:colOff>
      <xdr:row>53</xdr:row>
      <xdr:rowOff>0</xdr:rowOff>
    </xdr:from>
    <xdr:to>
      <xdr:col>4</xdr:col>
      <xdr:colOff>1904999</xdr:colOff>
      <xdr:row>69</xdr:row>
      <xdr:rowOff>152401</xdr:rowOff>
    </xdr:to>
    <xdr:graphicFrame macro="">
      <xdr:nvGraphicFramePr>
        <xdr:cNvPr id="9" name="Gráfico 1">
          <a:extLst>
            <a:ext uri="{FF2B5EF4-FFF2-40B4-BE49-F238E27FC236}">
              <a16:creationId xmlns:a16="http://schemas.microsoft.com/office/drawing/2014/main" id="{00000000-0008-0000-0100-000009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581025</xdr:colOff>
      <xdr:row>70</xdr:row>
      <xdr:rowOff>180975</xdr:rowOff>
    </xdr:from>
    <xdr:to>
      <xdr:col>4</xdr:col>
      <xdr:colOff>1857375</xdr:colOff>
      <xdr:row>87</xdr:row>
      <xdr:rowOff>180975</xdr:rowOff>
    </xdr:to>
    <xdr:graphicFrame macro="">
      <xdr:nvGraphicFramePr>
        <xdr:cNvPr id="10" name="Gráfico 3">
          <a:extLst>
            <a:ext uri="{FF2B5EF4-FFF2-40B4-BE49-F238E27FC236}">
              <a16:creationId xmlns:a16="http://schemas.microsoft.com/office/drawing/2014/main" id="{00000000-0008-0000-0100-00000A000000}"/>
            </a:ext>
            <a:ext uri="{147F2762-F138-4A5C-976F-8EAC2B608ADB}">
              <a16:predDERef xmlns:a16="http://schemas.microsoft.com/office/drawing/2014/main" pre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19050</xdr:colOff>
      <xdr:row>54</xdr:row>
      <xdr:rowOff>9525</xdr:rowOff>
    </xdr:from>
    <xdr:to>
      <xdr:col>9</xdr:col>
      <xdr:colOff>1057275</xdr:colOff>
      <xdr:row>70</xdr:row>
      <xdr:rowOff>161925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100-00000B000000}"/>
            </a:ext>
            <a:ext uri="{147F2762-F138-4A5C-976F-8EAC2B608ADB}">
              <a16:predDERef xmlns:a16="http://schemas.microsoft.com/office/drawing/2014/main" pre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73</xdr:row>
      <xdr:rowOff>0</xdr:rowOff>
    </xdr:from>
    <xdr:to>
      <xdr:col>9</xdr:col>
      <xdr:colOff>1038225</xdr:colOff>
      <xdr:row>89</xdr:row>
      <xdr:rowOff>152400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100-00000C000000}"/>
            </a:ext>
            <a:ext uri="{147F2762-F138-4A5C-976F-8EAC2B608ADB}">
              <a16:predDERef xmlns:a16="http://schemas.microsoft.com/office/drawing/2014/main" pre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619125</xdr:colOff>
      <xdr:row>55</xdr:row>
      <xdr:rowOff>28575</xdr:rowOff>
    </xdr:from>
    <xdr:to>
      <xdr:col>16</xdr:col>
      <xdr:colOff>714375</xdr:colOff>
      <xdr:row>73</xdr:row>
      <xdr:rowOff>180974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100-00000D000000}"/>
            </a:ext>
            <a:ext uri="{147F2762-F138-4A5C-976F-8EAC2B608ADB}">
              <a16:predDERef xmlns:a16="http://schemas.microsoft.com/office/drawing/2014/main" pre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495300</xdr:colOff>
      <xdr:row>99</xdr:row>
      <xdr:rowOff>180975</xdr:rowOff>
    </xdr:from>
    <xdr:to>
      <xdr:col>10</xdr:col>
      <xdr:colOff>257175</xdr:colOff>
      <xdr:row>119</xdr:row>
      <xdr:rowOff>171450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100-00000F000000}"/>
            </a:ext>
            <a:ext uri="{147F2762-F138-4A5C-976F-8EAC2B608ADB}">
              <a16:predDERef xmlns:a16="http://schemas.microsoft.com/office/drawing/2014/main" pre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476250</xdr:colOff>
      <xdr:row>120</xdr:row>
      <xdr:rowOff>171450</xdr:rowOff>
    </xdr:from>
    <xdr:to>
      <xdr:col>10</xdr:col>
      <xdr:colOff>228600</xdr:colOff>
      <xdr:row>136</xdr:row>
      <xdr:rowOff>114300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100-000010000000}"/>
            </a:ext>
            <a:ext uri="{147F2762-F138-4A5C-976F-8EAC2B608ADB}">
              <a16:predDERef xmlns:a16="http://schemas.microsoft.com/office/drawing/2014/main" pre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314325</xdr:colOff>
      <xdr:row>99</xdr:row>
      <xdr:rowOff>142875</xdr:rowOff>
    </xdr:from>
    <xdr:to>
      <xdr:col>5</xdr:col>
      <xdr:colOff>95250</xdr:colOff>
      <xdr:row>118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100-000011000000}"/>
            </a:ext>
            <a:ext uri="{147F2762-F138-4A5C-976F-8EAC2B608ADB}">
              <a16:predDERef xmlns:a16="http://schemas.microsoft.com/office/drawing/2014/main" pre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695325</xdr:colOff>
      <xdr:row>120</xdr:row>
      <xdr:rowOff>47625</xdr:rowOff>
    </xdr:from>
    <xdr:to>
      <xdr:col>4</xdr:col>
      <xdr:colOff>1971675</xdr:colOff>
      <xdr:row>137</xdr:row>
      <xdr:rowOff>47625</xdr:rowOff>
    </xdr:to>
    <xdr:graphicFrame macro="">
      <xdr:nvGraphicFramePr>
        <xdr:cNvPr id="19" name="Gráfico 3">
          <a:extLst>
            <a:ext uri="{FF2B5EF4-FFF2-40B4-BE49-F238E27FC236}">
              <a16:creationId xmlns:a16="http://schemas.microsoft.com/office/drawing/2014/main" id="{00000000-0008-0000-0100-000013000000}"/>
            </a:ext>
            <a:ext uri="{147F2762-F138-4A5C-976F-8EAC2B608ADB}">
              <a16:predDERef xmlns:a16="http://schemas.microsoft.com/office/drawing/2014/main" pre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876300</xdr:colOff>
      <xdr:row>109</xdr:row>
      <xdr:rowOff>152400</xdr:rowOff>
    </xdr:from>
    <xdr:to>
      <xdr:col>17</xdr:col>
      <xdr:colOff>209550</xdr:colOff>
      <xdr:row>128</xdr:row>
      <xdr:rowOff>114299</xdr:rowOff>
    </xdr:to>
    <xdr:graphicFrame macro="">
      <xdr:nvGraphicFramePr>
        <xdr:cNvPr id="20" name="19 Gráfico">
          <a:extLst>
            <a:ext uri="{FF2B5EF4-FFF2-40B4-BE49-F238E27FC236}">
              <a16:creationId xmlns:a16="http://schemas.microsoft.com/office/drawing/2014/main" id="{00000000-0008-0000-0100-000014000000}"/>
            </a:ext>
            <a:ext uri="{147F2762-F138-4A5C-976F-8EAC2B608ADB}">
              <a16:predDERef xmlns:a16="http://schemas.microsoft.com/office/drawing/2014/main" pre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38100</xdr:colOff>
      <xdr:row>5</xdr:row>
      <xdr:rowOff>180974</xdr:rowOff>
    </xdr:from>
    <xdr:to>
      <xdr:col>23</xdr:col>
      <xdr:colOff>1123950</xdr:colOff>
      <xdr:row>27</xdr:row>
      <xdr:rowOff>0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100-000006000000}"/>
            </a:ext>
            <a:ext uri="{147F2762-F138-4A5C-976F-8EAC2B608ADB}">
              <a16:predDERef xmlns:a16="http://schemas.microsoft.com/office/drawing/2014/main" pre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24</xdr:col>
      <xdr:colOff>758825</xdr:colOff>
      <xdr:row>6</xdr:row>
      <xdr:rowOff>12700</xdr:rowOff>
    </xdr:from>
    <xdr:to>
      <xdr:col>32</xdr:col>
      <xdr:colOff>387350</xdr:colOff>
      <xdr:row>27</xdr:row>
      <xdr:rowOff>22226</xdr:rowOff>
    </xdr:to>
    <xdr:graphicFrame macro="">
      <xdr:nvGraphicFramePr>
        <xdr:cNvPr id="18" name="5 Gráfico">
          <a:extLst>
            <a:ext uri="{FF2B5EF4-FFF2-40B4-BE49-F238E27FC236}">
              <a16:creationId xmlns:a16="http://schemas.microsoft.com/office/drawing/2014/main" id="{1BCE07E6-E7B3-974B-9F16-7093FF94478E}"/>
            </a:ext>
            <a:ext uri="{147F2762-F138-4A5C-976F-8EAC2B608ADB}">
              <a16:predDERef xmlns:a16="http://schemas.microsoft.com/office/drawing/2014/main" pre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0</xdr:row>
      <xdr:rowOff>104775</xdr:rowOff>
    </xdr:from>
    <xdr:to>
      <xdr:col>9</xdr:col>
      <xdr:colOff>695325</xdr:colOff>
      <xdr:row>21</xdr:row>
      <xdr:rowOff>114301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752474</xdr:colOff>
      <xdr:row>23</xdr:row>
      <xdr:rowOff>19049</xdr:rowOff>
    </xdr:from>
    <xdr:to>
      <xdr:col>15</xdr:col>
      <xdr:colOff>161925</xdr:colOff>
      <xdr:row>40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  <a:ext uri="{147F2762-F138-4A5C-976F-8EAC2B608ADB}">
              <a16:predDERef xmlns:a16="http://schemas.microsoft.com/office/drawing/2014/main" pre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400050</xdr:colOff>
      <xdr:row>42</xdr:row>
      <xdr:rowOff>180975</xdr:rowOff>
    </xdr:from>
    <xdr:to>
      <xdr:col>15</xdr:col>
      <xdr:colOff>19050</xdr:colOff>
      <xdr:row>62</xdr:row>
      <xdr:rowOff>28575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200-000009000000}"/>
            </a:ext>
            <a:ext uri="{147F2762-F138-4A5C-976F-8EAC2B608ADB}">
              <a16:predDERef xmlns:a16="http://schemas.microsoft.com/office/drawing/2014/main" pre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50800</xdr:colOff>
      <xdr:row>0</xdr:row>
      <xdr:rowOff>117475</xdr:rowOff>
    </xdr:from>
    <xdr:to>
      <xdr:col>18</xdr:col>
      <xdr:colOff>679450</xdr:colOff>
      <xdr:row>21</xdr:row>
      <xdr:rowOff>127001</xdr:rowOff>
    </xdr:to>
    <xdr:graphicFrame macro="">
      <xdr:nvGraphicFramePr>
        <xdr:cNvPr id="7" name="5 Gráfico">
          <a:extLst>
            <a:ext uri="{FF2B5EF4-FFF2-40B4-BE49-F238E27FC236}">
              <a16:creationId xmlns:a16="http://schemas.microsoft.com/office/drawing/2014/main" id="{3A9D1E70-4C6F-834D-B3F7-DDC4981A33C5}"/>
            </a:ext>
            <a:ext uri="{147F2762-F138-4A5C-976F-8EAC2B608ADB}">
              <a16:predDERef xmlns:a16="http://schemas.microsoft.com/office/drawing/2014/main" pre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228599</xdr:colOff>
      <xdr:row>0</xdr:row>
      <xdr:rowOff>142874</xdr:rowOff>
    </xdr:from>
    <xdr:to>
      <xdr:col>16</xdr:col>
      <xdr:colOff>400050</xdr:colOff>
      <xdr:row>22</xdr:row>
      <xdr:rowOff>0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314326</xdr:colOff>
      <xdr:row>45</xdr:row>
      <xdr:rowOff>180974</xdr:rowOff>
    </xdr:from>
    <xdr:to>
      <xdr:col>16</xdr:col>
      <xdr:colOff>400050</xdr:colOff>
      <xdr:row>67</xdr:row>
      <xdr:rowOff>180975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300-000004000000}"/>
            </a:ext>
            <a:ext uri="{147F2762-F138-4A5C-976F-8EAC2B608ADB}">
              <a16:predDERef xmlns:a16="http://schemas.microsoft.com/office/drawing/2014/main" pre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342899</xdr:colOff>
      <xdr:row>68</xdr:row>
      <xdr:rowOff>180975</xdr:rowOff>
    </xdr:from>
    <xdr:to>
      <xdr:col>16</xdr:col>
      <xdr:colOff>161924</xdr:colOff>
      <xdr:row>90</xdr:row>
      <xdr:rowOff>171450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300-000006000000}"/>
            </a:ext>
            <a:ext uri="{147F2762-F138-4A5C-976F-8EAC2B608ADB}">
              <a16:predDERef xmlns:a16="http://schemas.microsoft.com/office/drawing/2014/main" pre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209550</xdr:colOff>
      <xdr:row>23</xdr:row>
      <xdr:rowOff>9525</xdr:rowOff>
    </xdr:from>
    <xdr:to>
      <xdr:col>16</xdr:col>
      <xdr:colOff>0</xdr:colOff>
      <xdr:row>44</xdr:row>
      <xdr:rowOff>85725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300-000008000000}"/>
            </a:ext>
            <a:ext uri="{147F2762-F138-4A5C-976F-8EAC2B608ADB}">
              <a16:predDERef xmlns:a16="http://schemas.microsoft.com/office/drawing/2014/main" pre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AD287"/>
  <sheetViews>
    <sheetView tabSelected="1" zoomScale="165" zoomScaleNormal="130" workbookViewId="0">
      <selection activeCell="Q31" sqref="Q31"/>
    </sheetView>
  </sheetViews>
  <sheetFormatPr baseColWidth="10" defaultColWidth="11.5" defaultRowHeight="15" x14ac:dyDescent="0.2"/>
  <cols>
    <col min="1" max="1" width="6.83203125" customWidth="1"/>
    <col min="2" max="2" width="23.6640625" customWidth="1"/>
    <col min="3" max="3" width="14.1640625" style="1" bestFit="1" customWidth="1"/>
    <col min="4" max="4" width="17.1640625" style="1" hidden="1" customWidth="1"/>
    <col min="5" max="5" width="66.83203125" customWidth="1"/>
    <col min="6" max="9" width="23.33203125" customWidth="1"/>
    <col min="10" max="10" width="21.33203125" customWidth="1"/>
    <col min="11" max="12" width="19.33203125" customWidth="1"/>
    <col min="13" max="13" width="17.6640625" bestFit="1" customWidth="1"/>
    <col min="14" max="14" width="47.5" bestFit="1" customWidth="1"/>
    <col min="15" max="16" width="19.33203125" customWidth="1"/>
    <col min="17" max="17" width="18" customWidth="1"/>
    <col min="19" max="19" width="17.5" bestFit="1" customWidth="1"/>
    <col min="20" max="20" width="15.83203125" bestFit="1" customWidth="1"/>
    <col min="21" max="21" width="7.1640625" bestFit="1" customWidth="1"/>
    <col min="23" max="23" width="13" bestFit="1" customWidth="1"/>
    <col min="24" max="24" width="9.33203125" bestFit="1" customWidth="1"/>
    <col min="25" max="25" width="15.33203125" bestFit="1" customWidth="1"/>
    <col min="26" max="26" width="11.33203125" customWidth="1"/>
  </cols>
  <sheetData>
    <row r="2" spans="1:19" x14ac:dyDescent="0.2">
      <c r="A2" s="46" t="s">
        <v>0</v>
      </c>
      <c r="B2" s="44" t="s">
        <v>76</v>
      </c>
      <c r="C2" s="45" t="s">
        <v>1</v>
      </c>
      <c r="D2" s="45" t="s">
        <v>2</v>
      </c>
      <c r="E2" s="45" t="s">
        <v>71</v>
      </c>
      <c r="F2" s="47" t="s">
        <v>3</v>
      </c>
      <c r="G2" s="45" t="s">
        <v>4</v>
      </c>
      <c r="H2" s="45" t="s">
        <v>5</v>
      </c>
      <c r="I2" s="45" t="s">
        <v>68</v>
      </c>
      <c r="J2" s="45" t="s">
        <v>67</v>
      </c>
      <c r="K2" s="45" t="s">
        <v>69</v>
      </c>
      <c r="L2" s="45"/>
      <c r="M2" s="44" t="s">
        <v>76</v>
      </c>
      <c r="N2" s="43" t="s">
        <v>75</v>
      </c>
      <c r="O2" s="44" t="s">
        <v>6</v>
      </c>
      <c r="P2" s="44" t="s">
        <v>7</v>
      </c>
      <c r="Q2" s="42" t="s">
        <v>8</v>
      </c>
    </row>
    <row r="3" spans="1:19" x14ac:dyDescent="0.2">
      <c r="A3" s="46"/>
      <c r="B3" s="44"/>
      <c r="C3" s="45"/>
      <c r="D3" s="45"/>
      <c r="E3" s="45"/>
      <c r="F3" s="48"/>
      <c r="G3" s="45"/>
      <c r="H3" s="45"/>
      <c r="I3" s="45"/>
      <c r="J3" s="45"/>
      <c r="K3" s="24" t="s">
        <v>20</v>
      </c>
      <c r="L3" s="24" t="s">
        <v>32</v>
      </c>
      <c r="M3" s="44"/>
      <c r="N3" s="43"/>
      <c r="O3" s="44"/>
      <c r="P3" s="44"/>
      <c r="Q3" s="42"/>
    </row>
    <row r="4" spans="1:19" ht="15" customHeight="1" x14ac:dyDescent="0.2">
      <c r="A4" s="26">
        <v>1</v>
      </c>
      <c r="B4" s="49" t="s">
        <v>70</v>
      </c>
      <c r="C4" s="25" t="s">
        <v>11</v>
      </c>
      <c r="D4" s="17"/>
      <c r="E4" s="27" t="s">
        <v>77</v>
      </c>
      <c r="F4" s="19">
        <v>1</v>
      </c>
      <c r="G4" s="19">
        <v>1</v>
      </c>
      <c r="H4" s="19">
        <f>SUM(F4:G4)/2</f>
        <v>1</v>
      </c>
      <c r="I4" s="19">
        <v>1</v>
      </c>
      <c r="J4" s="19">
        <v>1</v>
      </c>
      <c r="K4" s="19">
        <v>1</v>
      </c>
      <c r="L4" s="19">
        <v>1</v>
      </c>
      <c r="M4" s="49" t="s">
        <v>70</v>
      </c>
      <c r="N4" s="27" t="s">
        <v>81</v>
      </c>
      <c r="O4" s="19">
        <f t="shared" ref="O4:O30" si="0">SUM(H4,J4,K4)/3</f>
        <v>1</v>
      </c>
      <c r="P4" s="19">
        <f t="shared" ref="P4:P30" si="1">SUM(H4,I4,L4)/3</f>
        <v>1</v>
      </c>
      <c r="Q4" s="19">
        <f>SUM(O4,P4)/2</f>
        <v>1</v>
      </c>
      <c r="R4" s="3"/>
    </row>
    <row r="5" spans="1:19" x14ac:dyDescent="0.2">
      <c r="A5" s="26">
        <v>2</v>
      </c>
      <c r="B5" s="50"/>
      <c r="C5" s="28" t="s">
        <v>11</v>
      </c>
      <c r="D5" s="17"/>
      <c r="E5" s="27" t="s">
        <v>78</v>
      </c>
      <c r="F5" s="19">
        <v>1</v>
      </c>
      <c r="G5" s="19">
        <v>1</v>
      </c>
      <c r="H5" s="19">
        <f t="shared" ref="H5:H23" si="2">SUM(F5:G5)/2</f>
        <v>1</v>
      </c>
      <c r="I5" s="19">
        <v>1</v>
      </c>
      <c r="J5" s="19">
        <v>1</v>
      </c>
      <c r="K5" s="19">
        <v>1</v>
      </c>
      <c r="L5" s="19">
        <v>1</v>
      </c>
      <c r="M5" s="50"/>
      <c r="N5" s="27" t="s">
        <v>82</v>
      </c>
      <c r="O5" s="19">
        <f t="shared" si="0"/>
        <v>1</v>
      </c>
      <c r="P5" s="19">
        <f t="shared" si="1"/>
        <v>1</v>
      </c>
      <c r="Q5" s="19">
        <f t="shared" ref="Q5:Q30" si="3">SUM(O5,P5)/2</f>
        <v>1</v>
      </c>
    </row>
    <row r="6" spans="1:19" x14ac:dyDescent="0.2">
      <c r="A6" s="26">
        <v>3</v>
      </c>
      <c r="B6" s="50"/>
      <c r="C6" s="28" t="s">
        <v>11</v>
      </c>
      <c r="D6" s="17"/>
      <c r="E6" s="27" t="s">
        <v>79</v>
      </c>
      <c r="F6" s="19">
        <v>1</v>
      </c>
      <c r="G6" s="19">
        <v>1</v>
      </c>
      <c r="H6" s="19">
        <f t="shared" si="2"/>
        <v>1</v>
      </c>
      <c r="I6" s="19">
        <v>1</v>
      </c>
      <c r="J6" s="19">
        <v>1</v>
      </c>
      <c r="K6" s="19">
        <v>1</v>
      </c>
      <c r="L6" s="19">
        <v>1</v>
      </c>
      <c r="M6" s="50"/>
      <c r="N6" s="27" t="s">
        <v>83</v>
      </c>
      <c r="O6" s="19">
        <f t="shared" si="0"/>
        <v>1</v>
      </c>
      <c r="P6" s="19">
        <f t="shared" si="1"/>
        <v>1</v>
      </c>
      <c r="Q6" s="19">
        <f t="shared" si="3"/>
        <v>1</v>
      </c>
    </row>
    <row r="7" spans="1:19" x14ac:dyDescent="0.2">
      <c r="A7" s="26">
        <v>4</v>
      </c>
      <c r="B7" s="50"/>
      <c r="C7" s="28" t="s">
        <v>11</v>
      </c>
      <c r="D7" s="17"/>
      <c r="E7" s="27" t="s">
        <v>80</v>
      </c>
      <c r="F7" s="19">
        <v>1</v>
      </c>
      <c r="G7" s="19">
        <v>1</v>
      </c>
      <c r="H7" s="19">
        <f t="shared" si="2"/>
        <v>1</v>
      </c>
      <c r="I7" s="19">
        <v>1</v>
      </c>
      <c r="J7" s="19">
        <v>1</v>
      </c>
      <c r="K7" s="19">
        <v>1</v>
      </c>
      <c r="L7" s="19">
        <v>1</v>
      </c>
      <c r="M7" s="56"/>
      <c r="N7" s="27" t="s">
        <v>84</v>
      </c>
      <c r="O7" s="19">
        <f t="shared" si="0"/>
        <v>1</v>
      </c>
      <c r="P7" s="19">
        <f t="shared" si="1"/>
        <v>1</v>
      </c>
      <c r="Q7" s="19">
        <f t="shared" si="3"/>
        <v>1</v>
      </c>
    </row>
    <row r="8" spans="1:19" ht="15" customHeight="1" x14ac:dyDescent="0.2">
      <c r="A8" s="26">
        <v>5</v>
      </c>
      <c r="B8" s="32" t="s">
        <v>85</v>
      </c>
      <c r="C8" s="31" t="s">
        <v>11</v>
      </c>
      <c r="D8" s="17"/>
      <c r="E8" s="27" t="s">
        <v>86</v>
      </c>
      <c r="F8" s="19">
        <v>1</v>
      </c>
      <c r="G8" s="19">
        <v>1</v>
      </c>
      <c r="H8" s="19">
        <f t="shared" ref="H8" si="4">SUM(F8:G8)/2</f>
        <v>1</v>
      </c>
      <c r="I8" s="19">
        <v>0</v>
      </c>
      <c r="J8" s="19">
        <v>1</v>
      </c>
      <c r="K8" s="19">
        <v>1</v>
      </c>
      <c r="L8" s="19">
        <v>0.5</v>
      </c>
      <c r="M8" s="33" t="s">
        <v>85</v>
      </c>
      <c r="N8" s="27" t="s">
        <v>87</v>
      </c>
      <c r="O8" s="19">
        <f t="shared" si="0"/>
        <v>1</v>
      </c>
      <c r="P8" s="19">
        <f t="shared" si="1"/>
        <v>0.5</v>
      </c>
      <c r="Q8" s="19">
        <f t="shared" si="3"/>
        <v>0.75</v>
      </c>
    </row>
    <row r="9" spans="1:19" ht="15" customHeight="1" x14ac:dyDescent="0.2">
      <c r="A9" s="26">
        <v>6</v>
      </c>
      <c r="B9" s="51" t="s">
        <v>88</v>
      </c>
      <c r="C9" s="28" t="s">
        <v>11</v>
      </c>
      <c r="E9" s="27" t="s">
        <v>89</v>
      </c>
      <c r="F9" s="19">
        <v>1</v>
      </c>
      <c r="G9" s="19">
        <v>1</v>
      </c>
      <c r="H9" s="19">
        <f t="shared" si="2"/>
        <v>1</v>
      </c>
      <c r="I9" s="19">
        <v>0</v>
      </c>
      <c r="J9" s="19">
        <v>1</v>
      </c>
      <c r="K9" s="19">
        <v>1</v>
      </c>
      <c r="L9" s="19">
        <v>0.4</v>
      </c>
      <c r="M9" s="57" t="s">
        <v>88</v>
      </c>
      <c r="N9" s="27" t="s">
        <v>92</v>
      </c>
      <c r="O9" s="19">
        <f t="shared" si="0"/>
        <v>1</v>
      </c>
      <c r="P9" s="19">
        <f t="shared" si="1"/>
        <v>0.46666666666666662</v>
      </c>
      <c r="Q9" s="19">
        <f t="shared" si="3"/>
        <v>0.73333333333333328</v>
      </c>
    </row>
    <row r="10" spans="1:19" ht="16" customHeight="1" x14ac:dyDescent="0.2">
      <c r="A10" s="26">
        <v>7</v>
      </c>
      <c r="B10" s="51"/>
      <c r="C10" s="28" t="s">
        <v>11</v>
      </c>
      <c r="E10" s="27" t="s">
        <v>91</v>
      </c>
      <c r="F10" s="19">
        <v>1</v>
      </c>
      <c r="G10" s="19">
        <v>1</v>
      </c>
      <c r="H10" s="19">
        <f t="shared" si="2"/>
        <v>1</v>
      </c>
      <c r="I10" s="19">
        <v>1</v>
      </c>
      <c r="J10" s="19">
        <v>1</v>
      </c>
      <c r="K10" s="19">
        <v>1</v>
      </c>
      <c r="L10" s="19">
        <v>0.98</v>
      </c>
      <c r="M10" s="58"/>
      <c r="N10" s="27" t="s">
        <v>111</v>
      </c>
      <c r="O10" s="19">
        <f t="shared" si="0"/>
        <v>1</v>
      </c>
      <c r="P10" s="19">
        <v>0.98</v>
      </c>
      <c r="Q10" s="19">
        <f t="shared" si="3"/>
        <v>0.99</v>
      </c>
    </row>
    <row r="11" spans="1:19" x14ac:dyDescent="0.2">
      <c r="A11" s="26">
        <v>8</v>
      </c>
      <c r="B11" s="51"/>
      <c r="C11" s="28" t="s">
        <v>11</v>
      </c>
      <c r="E11" s="27" t="s">
        <v>90</v>
      </c>
      <c r="F11" s="19">
        <v>1</v>
      </c>
      <c r="G11" s="19">
        <v>1</v>
      </c>
      <c r="H11" s="19">
        <f t="shared" si="2"/>
        <v>1</v>
      </c>
      <c r="I11" s="19">
        <v>0</v>
      </c>
      <c r="J11" s="19">
        <v>1</v>
      </c>
      <c r="K11" s="19">
        <v>1</v>
      </c>
      <c r="L11" s="19">
        <v>0.4</v>
      </c>
      <c r="M11" s="58"/>
      <c r="N11" s="27" t="s">
        <v>94</v>
      </c>
      <c r="O11" s="19">
        <f t="shared" si="0"/>
        <v>1</v>
      </c>
      <c r="P11" s="19">
        <f t="shared" si="1"/>
        <v>0.46666666666666662</v>
      </c>
      <c r="Q11" s="19">
        <f t="shared" si="3"/>
        <v>0.73333333333333328</v>
      </c>
      <c r="S11" s="2"/>
    </row>
    <row r="12" spans="1:19" x14ac:dyDescent="0.2">
      <c r="A12" s="26">
        <v>9</v>
      </c>
      <c r="B12" s="60"/>
      <c r="C12" s="28" t="s">
        <v>11</v>
      </c>
      <c r="D12" s="29"/>
      <c r="E12" s="27" t="s">
        <v>93</v>
      </c>
      <c r="F12" s="19">
        <v>1</v>
      </c>
      <c r="G12" s="19">
        <v>1</v>
      </c>
      <c r="H12" s="19">
        <f>SUM(F12:G12)/2</f>
        <v>1</v>
      </c>
      <c r="I12" s="19">
        <v>0</v>
      </c>
      <c r="J12" s="19">
        <v>1</v>
      </c>
      <c r="K12" s="19">
        <v>1</v>
      </c>
      <c r="L12" s="19">
        <v>0.49</v>
      </c>
      <c r="M12" s="58"/>
      <c r="N12" s="27" t="s">
        <v>95</v>
      </c>
      <c r="O12" s="19">
        <f>SUM(H12,J12,K12)/3</f>
        <v>1</v>
      </c>
      <c r="P12" s="19">
        <f t="shared" si="1"/>
        <v>0.49666666666666665</v>
      </c>
      <c r="Q12" s="19">
        <f t="shared" si="3"/>
        <v>0.74833333333333329</v>
      </c>
      <c r="S12" s="2"/>
    </row>
    <row r="13" spans="1:19" x14ac:dyDescent="0.2">
      <c r="A13" s="26">
        <v>10</v>
      </c>
      <c r="B13" s="59" t="s">
        <v>96</v>
      </c>
      <c r="C13" s="28" t="s">
        <v>11</v>
      </c>
      <c r="E13" s="27" t="s">
        <v>97</v>
      </c>
      <c r="F13" s="19">
        <v>1</v>
      </c>
      <c r="G13" s="19">
        <v>1</v>
      </c>
      <c r="H13" s="19">
        <f>SUM(F13:G13)/2</f>
        <v>1</v>
      </c>
      <c r="I13" s="19">
        <v>0</v>
      </c>
      <c r="J13" s="19">
        <v>1</v>
      </c>
      <c r="K13" s="19">
        <v>1</v>
      </c>
      <c r="L13" s="19">
        <v>0.5</v>
      </c>
      <c r="M13" s="58" t="s">
        <v>102</v>
      </c>
      <c r="N13" s="27" t="s">
        <v>97</v>
      </c>
      <c r="O13" s="19">
        <f t="shared" si="0"/>
        <v>1</v>
      </c>
      <c r="P13" s="19">
        <f t="shared" si="1"/>
        <v>0.5</v>
      </c>
      <c r="Q13" s="19">
        <f t="shared" si="3"/>
        <v>0.75</v>
      </c>
    </row>
    <row r="14" spans="1:19" x14ac:dyDescent="0.2">
      <c r="A14" s="26">
        <v>11</v>
      </c>
      <c r="B14" s="51"/>
      <c r="C14" s="28" t="s">
        <v>11</v>
      </c>
      <c r="E14" s="27" t="s">
        <v>98</v>
      </c>
      <c r="F14" s="19">
        <v>1</v>
      </c>
      <c r="G14" s="19">
        <v>1</v>
      </c>
      <c r="H14" s="19">
        <f t="shared" si="2"/>
        <v>1</v>
      </c>
      <c r="I14" s="19">
        <v>0</v>
      </c>
      <c r="J14" s="19">
        <v>1</v>
      </c>
      <c r="K14" s="19">
        <v>1</v>
      </c>
      <c r="L14" s="19">
        <v>0.5</v>
      </c>
      <c r="M14" s="58"/>
      <c r="N14" s="27" t="s">
        <v>98</v>
      </c>
      <c r="O14" s="19">
        <f t="shared" si="0"/>
        <v>1</v>
      </c>
      <c r="P14" s="19">
        <f t="shared" si="1"/>
        <v>0.5</v>
      </c>
      <c r="Q14" s="19">
        <f t="shared" si="3"/>
        <v>0.75</v>
      </c>
    </row>
    <row r="15" spans="1:19" x14ac:dyDescent="0.2">
      <c r="A15" s="26">
        <v>12</v>
      </c>
      <c r="B15" s="51"/>
      <c r="C15" s="31" t="s">
        <v>11</v>
      </c>
      <c r="D15" s="34"/>
      <c r="E15" s="27" t="s">
        <v>101</v>
      </c>
      <c r="F15" s="19">
        <v>1</v>
      </c>
      <c r="G15" s="19">
        <v>1</v>
      </c>
      <c r="H15" s="19">
        <f t="shared" si="2"/>
        <v>1</v>
      </c>
      <c r="I15" s="19">
        <v>0</v>
      </c>
      <c r="J15" s="19">
        <v>1</v>
      </c>
      <c r="K15" s="19">
        <v>1</v>
      </c>
      <c r="L15" s="19">
        <v>0.5</v>
      </c>
      <c r="M15" s="58"/>
      <c r="N15" s="27" t="s">
        <v>101</v>
      </c>
      <c r="O15" s="19">
        <f t="shared" si="0"/>
        <v>1</v>
      </c>
      <c r="P15" s="19">
        <f t="shared" si="1"/>
        <v>0.5</v>
      </c>
      <c r="Q15" s="19">
        <f t="shared" si="3"/>
        <v>0.75</v>
      </c>
    </row>
    <row r="16" spans="1:19" x14ac:dyDescent="0.2">
      <c r="A16" s="26">
        <v>13</v>
      </c>
      <c r="B16" s="51"/>
      <c r="C16" s="28" t="s">
        <v>11</v>
      </c>
      <c r="D16" s="29"/>
      <c r="E16" s="27" t="s">
        <v>99</v>
      </c>
      <c r="F16" s="19">
        <v>1</v>
      </c>
      <c r="G16" s="19">
        <v>1</v>
      </c>
      <c r="H16" s="19">
        <f t="shared" si="2"/>
        <v>1</v>
      </c>
      <c r="I16" s="19">
        <v>0</v>
      </c>
      <c r="J16" s="19">
        <v>1</v>
      </c>
      <c r="K16" s="19">
        <v>1</v>
      </c>
      <c r="L16" s="19">
        <v>1</v>
      </c>
      <c r="M16" s="58"/>
      <c r="N16" s="27" t="s">
        <v>99</v>
      </c>
      <c r="O16" s="19">
        <f t="shared" si="0"/>
        <v>1</v>
      </c>
      <c r="P16" s="19">
        <f t="shared" si="1"/>
        <v>0.66666666666666663</v>
      </c>
      <c r="Q16" s="19">
        <f t="shared" si="3"/>
        <v>0.83333333333333326</v>
      </c>
    </row>
    <row r="17" spans="1:17" x14ac:dyDescent="0.2">
      <c r="A17" s="26">
        <v>15</v>
      </c>
      <c r="B17" s="51"/>
      <c r="C17" s="28" t="s">
        <v>11</v>
      </c>
      <c r="D17" s="29"/>
      <c r="E17" s="27" t="s">
        <v>100</v>
      </c>
      <c r="F17" s="19">
        <v>1</v>
      </c>
      <c r="G17" s="19">
        <v>1</v>
      </c>
      <c r="H17" s="19">
        <f t="shared" si="2"/>
        <v>1</v>
      </c>
      <c r="I17" s="19">
        <v>0</v>
      </c>
      <c r="J17" s="19">
        <v>1</v>
      </c>
      <c r="K17" s="19">
        <v>1</v>
      </c>
      <c r="L17" s="19">
        <v>1</v>
      </c>
      <c r="M17" s="58"/>
      <c r="N17" s="27" t="s">
        <v>100</v>
      </c>
      <c r="O17" s="19">
        <f t="shared" si="0"/>
        <v>1</v>
      </c>
      <c r="P17" s="19">
        <f t="shared" si="1"/>
        <v>0.66666666666666663</v>
      </c>
      <c r="Q17" s="19">
        <f t="shared" si="3"/>
        <v>0.83333333333333326</v>
      </c>
    </row>
    <row r="18" spans="1:17" ht="16" x14ac:dyDescent="0.2">
      <c r="A18" s="26">
        <v>16</v>
      </c>
      <c r="B18" s="51"/>
      <c r="C18" s="28" t="s">
        <v>11</v>
      </c>
      <c r="E18" s="27" t="s">
        <v>103</v>
      </c>
      <c r="F18" s="19">
        <v>0.97</v>
      </c>
      <c r="G18" s="19">
        <v>0.97</v>
      </c>
      <c r="H18" s="19">
        <f t="shared" si="2"/>
        <v>0.97</v>
      </c>
      <c r="I18" s="19">
        <v>0</v>
      </c>
      <c r="J18" s="19">
        <v>1</v>
      </c>
      <c r="K18" s="19">
        <v>1</v>
      </c>
      <c r="L18" s="19">
        <v>0.5</v>
      </c>
      <c r="M18" s="58"/>
      <c r="N18" s="30" t="s">
        <v>103</v>
      </c>
      <c r="O18" s="19">
        <f t="shared" si="0"/>
        <v>0.98999999999999988</v>
      </c>
      <c r="P18" s="19">
        <f t="shared" si="1"/>
        <v>0.49</v>
      </c>
      <c r="Q18" s="19">
        <f t="shared" si="3"/>
        <v>0.74</v>
      </c>
    </row>
    <row r="19" spans="1:17" x14ac:dyDescent="0.2">
      <c r="A19" s="26">
        <v>17</v>
      </c>
      <c r="B19" s="51" t="s">
        <v>104</v>
      </c>
      <c r="C19" s="31" t="s">
        <v>11</v>
      </c>
      <c r="E19" s="27" t="s">
        <v>105</v>
      </c>
      <c r="F19" s="36">
        <v>1</v>
      </c>
      <c r="G19" s="36">
        <v>1</v>
      </c>
      <c r="H19" s="19">
        <f t="shared" si="2"/>
        <v>1</v>
      </c>
      <c r="I19" s="36">
        <v>0</v>
      </c>
      <c r="J19" s="36">
        <v>1</v>
      </c>
      <c r="K19" s="36">
        <v>1</v>
      </c>
      <c r="L19" s="36">
        <v>0.5</v>
      </c>
      <c r="M19" s="58" t="s">
        <v>104</v>
      </c>
      <c r="N19" s="27" t="s">
        <v>105</v>
      </c>
      <c r="O19" s="19">
        <f t="shared" si="0"/>
        <v>1</v>
      </c>
      <c r="P19" s="19">
        <f t="shared" si="1"/>
        <v>0.5</v>
      </c>
      <c r="Q19" s="19">
        <f t="shared" si="3"/>
        <v>0.75</v>
      </c>
    </row>
    <row r="20" spans="1:17" ht="13" customHeight="1" x14ac:dyDescent="0.2">
      <c r="A20" s="26">
        <v>18</v>
      </c>
      <c r="B20" s="51"/>
      <c r="C20" s="31" t="s">
        <v>11</v>
      </c>
      <c r="E20" s="27" t="s">
        <v>106</v>
      </c>
      <c r="F20" s="36">
        <v>0.7</v>
      </c>
      <c r="G20" s="36">
        <v>0.7</v>
      </c>
      <c r="H20" s="19">
        <f t="shared" si="2"/>
        <v>0.7</v>
      </c>
      <c r="I20" s="36">
        <v>0</v>
      </c>
      <c r="J20" s="36">
        <v>0.9</v>
      </c>
      <c r="K20" s="36">
        <v>0.8</v>
      </c>
      <c r="L20" s="36">
        <v>0.4</v>
      </c>
      <c r="M20" s="58"/>
      <c r="N20" s="27" t="s">
        <v>106</v>
      </c>
      <c r="O20" s="19">
        <f t="shared" si="0"/>
        <v>0.80000000000000016</v>
      </c>
      <c r="P20" s="19">
        <f t="shared" si="1"/>
        <v>0.3666666666666667</v>
      </c>
      <c r="Q20" s="19">
        <f t="shared" si="3"/>
        <v>0.58333333333333348</v>
      </c>
    </row>
    <row r="21" spans="1:17" ht="14" customHeight="1" x14ac:dyDescent="0.2">
      <c r="A21" s="26">
        <v>19</v>
      </c>
      <c r="B21" s="51"/>
      <c r="C21" s="31" t="s">
        <v>11</v>
      </c>
      <c r="E21" s="27" t="s">
        <v>107</v>
      </c>
      <c r="F21" s="36">
        <v>1</v>
      </c>
      <c r="G21" s="36">
        <v>1</v>
      </c>
      <c r="H21" s="19">
        <f t="shared" si="2"/>
        <v>1</v>
      </c>
      <c r="I21" s="36">
        <v>0.5</v>
      </c>
      <c r="J21" s="36">
        <v>1</v>
      </c>
      <c r="K21" s="36">
        <v>1</v>
      </c>
      <c r="L21" s="36">
        <v>0.9</v>
      </c>
      <c r="M21" s="58"/>
      <c r="N21" s="27" t="s">
        <v>107</v>
      </c>
      <c r="O21" s="19">
        <f t="shared" si="0"/>
        <v>1</v>
      </c>
      <c r="P21" s="19">
        <f t="shared" si="1"/>
        <v>0.79999999999999993</v>
      </c>
      <c r="Q21" s="19">
        <f t="shared" si="3"/>
        <v>0.89999999999999991</v>
      </c>
    </row>
    <row r="22" spans="1:17" ht="14" customHeight="1" x14ac:dyDescent="0.2">
      <c r="A22" s="26">
        <v>20</v>
      </c>
      <c r="B22" s="55" t="s">
        <v>108</v>
      </c>
      <c r="C22" s="31" t="s">
        <v>11</v>
      </c>
      <c r="E22" s="27" t="s">
        <v>109</v>
      </c>
      <c r="F22" s="40">
        <v>0.95</v>
      </c>
      <c r="G22" s="40">
        <v>0.97</v>
      </c>
      <c r="H22" s="41">
        <f t="shared" si="2"/>
        <v>0.96</v>
      </c>
      <c r="I22" s="40">
        <v>0</v>
      </c>
      <c r="J22" s="40">
        <v>0.98</v>
      </c>
      <c r="K22" s="40">
        <v>0.98</v>
      </c>
      <c r="L22" s="40">
        <v>0.4</v>
      </c>
      <c r="M22" s="52" t="s">
        <v>108</v>
      </c>
      <c r="N22" s="27" t="s">
        <v>109</v>
      </c>
      <c r="O22" s="19">
        <f t="shared" si="0"/>
        <v>0.97333333333333327</v>
      </c>
      <c r="P22" s="19">
        <f t="shared" si="1"/>
        <v>0.45333333333333331</v>
      </c>
      <c r="Q22" s="19">
        <f t="shared" si="3"/>
        <v>0.71333333333333326</v>
      </c>
    </row>
    <row r="23" spans="1:17" ht="13" customHeight="1" x14ac:dyDescent="0.2">
      <c r="A23" s="26">
        <v>21</v>
      </c>
      <c r="B23" s="55"/>
      <c r="C23" s="31" t="s">
        <v>11</v>
      </c>
      <c r="D23" s="37"/>
      <c r="E23" s="27" t="s">
        <v>110</v>
      </c>
      <c r="F23" s="19">
        <v>0.95</v>
      </c>
      <c r="G23" s="19">
        <v>1</v>
      </c>
      <c r="H23" s="19">
        <f t="shared" si="2"/>
        <v>0.97499999999999998</v>
      </c>
      <c r="I23" s="19">
        <v>0</v>
      </c>
      <c r="J23" s="19">
        <v>1</v>
      </c>
      <c r="K23" s="19">
        <v>0.9</v>
      </c>
      <c r="L23" s="19">
        <v>0.4</v>
      </c>
      <c r="M23" s="53"/>
      <c r="N23" s="27" t="s">
        <v>110</v>
      </c>
      <c r="O23" s="19">
        <f t="shared" si="0"/>
        <v>0.95833333333333337</v>
      </c>
      <c r="P23" s="19">
        <f t="shared" si="1"/>
        <v>0.45833333333333331</v>
      </c>
      <c r="Q23" s="19">
        <f t="shared" si="3"/>
        <v>0.70833333333333337</v>
      </c>
    </row>
    <row r="24" spans="1:17" x14ac:dyDescent="0.2">
      <c r="A24" s="26">
        <v>22</v>
      </c>
      <c r="B24" s="55"/>
      <c r="C24" s="39"/>
      <c r="D24" s="37"/>
      <c r="E24" s="39"/>
      <c r="F24" s="37"/>
      <c r="G24" s="39"/>
      <c r="H24" s="37"/>
      <c r="I24" s="39"/>
      <c r="J24" s="37"/>
      <c r="K24" s="39"/>
      <c r="L24" s="37"/>
      <c r="M24" s="54"/>
      <c r="N24" s="37"/>
      <c r="O24" s="19">
        <f t="shared" si="0"/>
        <v>0</v>
      </c>
      <c r="P24" s="19">
        <f t="shared" si="1"/>
        <v>0</v>
      </c>
      <c r="Q24" s="19">
        <f t="shared" si="3"/>
        <v>0</v>
      </c>
    </row>
    <row r="25" spans="1:17" x14ac:dyDescent="0.2">
      <c r="A25" s="26">
        <v>23</v>
      </c>
      <c r="B25" s="49"/>
      <c r="C25" s="39"/>
      <c r="D25" s="37"/>
      <c r="E25" s="39"/>
      <c r="F25" s="37"/>
      <c r="G25" s="39"/>
      <c r="H25" s="37"/>
      <c r="I25" s="39"/>
      <c r="J25" s="37"/>
      <c r="K25" s="39"/>
      <c r="L25" s="37"/>
      <c r="M25" s="39"/>
      <c r="N25" s="37"/>
      <c r="O25" s="19">
        <f t="shared" si="0"/>
        <v>0</v>
      </c>
      <c r="P25" s="19">
        <f t="shared" si="1"/>
        <v>0</v>
      </c>
      <c r="Q25" s="19">
        <f t="shared" si="3"/>
        <v>0</v>
      </c>
    </row>
    <row r="26" spans="1:17" x14ac:dyDescent="0.2">
      <c r="A26" s="26">
        <v>24</v>
      </c>
      <c r="B26" s="50"/>
      <c r="C26" s="39"/>
      <c r="D26" s="37"/>
      <c r="E26" s="39"/>
      <c r="F26" s="37"/>
      <c r="G26" s="39"/>
      <c r="H26" s="37"/>
      <c r="I26" s="39"/>
      <c r="J26" s="37"/>
      <c r="K26" s="39"/>
      <c r="L26" s="37"/>
      <c r="M26" s="39"/>
      <c r="N26" s="37"/>
      <c r="O26" s="19">
        <f t="shared" si="0"/>
        <v>0</v>
      </c>
      <c r="P26" s="19">
        <f t="shared" si="1"/>
        <v>0</v>
      </c>
      <c r="Q26" s="19">
        <f t="shared" si="3"/>
        <v>0</v>
      </c>
    </row>
    <row r="27" spans="1:17" x14ac:dyDescent="0.2">
      <c r="A27" s="26">
        <v>25</v>
      </c>
      <c r="B27" s="50"/>
      <c r="C27" s="39"/>
      <c r="D27" s="37"/>
      <c r="E27" s="39"/>
      <c r="F27" s="37"/>
      <c r="G27" s="39"/>
      <c r="H27" s="37"/>
      <c r="I27" s="39"/>
      <c r="J27" s="37"/>
      <c r="K27" s="39"/>
      <c r="L27" s="37"/>
      <c r="M27" s="39"/>
      <c r="N27" s="37"/>
      <c r="O27" s="19">
        <f t="shared" si="0"/>
        <v>0</v>
      </c>
      <c r="P27" s="19">
        <f t="shared" si="1"/>
        <v>0</v>
      </c>
      <c r="Q27" s="19">
        <f t="shared" si="3"/>
        <v>0</v>
      </c>
    </row>
    <row r="28" spans="1:17" x14ac:dyDescent="0.2">
      <c r="A28" s="26">
        <v>26</v>
      </c>
      <c r="B28" s="50"/>
      <c r="C28" s="39"/>
      <c r="D28" s="37"/>
      <c r="E28" s="39"/>
      <c r="F28" s="37"/>
      <c r="G28" s="39"/>
      <c r="H28" s="37"/>
      <c r="I28" s="39"/>
      <c r="J28" s="37"/>
      <c r="K28" s="39"/>
      <c r="L28" s="37"/>
      <c r="M28" s="39"/>
      <c r="N28" s="37"/>
      <c r="O28" s="19">
        <f t="shared" si="0"/>
        <v>0</v>
      </c>
      <c r="P28" s="19">
        <f t="shared" si="1"/>
        <v>0</v>
      </c>
      <c r="Q28" s="19">
        <f t="shared" si="3"/>
        <v>0</v>
      </c>
    </row>
    <row r="29" spans="1:17" x14ac:dyDescent="0.2">
      <c r="A29" s="26">
        <v>27</v>
      </c>
      <c r="B29" s="32"/>
      <c r="C29" s="39"/>
      <c r="D29" s="37"/>
      <c r="E29" s="39"/>
      <c r="F29" s="37"/>
      <c r="G29" s="39"/>
      <c r="H29" s="37"/>
      <c r="I29" s="39"/>
      <c r="J29" s="37"/>
      <c r="K29" s="39"/>
      <c r="L29" s="37"/>
      <c r="M29" s="39"/>
      <c r="N29" s="37"/>
      <c r="O29" s="19">
        <f t="shared" si="0"/>
        <v>0</v>
      </c>
      <c r="P29" s="19">
        <f t="shared" si="1"/>
        <v>0</v>
      </c>
      <c r="Q29" s="19">
        <f t="shared" si="3"/>
        <v>0</v>
      </c>
    </row>
    <row r="30" spans="1:17" x14ac:dyDescent="0.2">
      <c r="A30" s="26">
        <v>28</v>
      </c>
      <c r="B30" s="51"/>
      <c r="C30" s="39"/>
      <c r="D30" s="37"/>
      <c r="E30" s="39"/>
      <c r="F30" s="37"/>
      <c r="G30" s="39"/>
      <c r="H30" s="37"/>
      <c r="I30" s="39"/>
      <c r="J30" s="37"/>
      <c r="K30" s="39"/>
      <c r="L30" s="37"/>
      <c r="M30" s="38"/>
      <c r="N30" s="37"/>
      <c r="O30" s="19">
        <f t="shared" si="0"/>
        <v>0</v>
      </c>
      <c r="P30" s="19">
        <f t="shared" si="1"/>
        <v>0</v>
      </c>
      <c r="Q30" s="19">
        <f t="shared" si="3"/>
        <v>0</v>
      </c>
    </row>
    <row r="31" spans="1:17" x14ac:dyDescent="0.2">
      <c r="A31" s="26">
        <v>29</v>
      </c>
      <c r="B31" s="51"/>
      <c r="C31" s="39"/>
      <c r="D31" s="37"/>
      <c r="E31" s="39"/>
      <c r="F31" s="37"/>
      <c r="G31" s="39"/>
      <c r="H31" s="37"/>
      <c r="I31" s="39"/>
      <c r="J31" s="37"/>
      <c r="K31" s="39"/>
      <c r="L31" s="37"/>
      <c r="M31" s="38"/>
      <c r="N31" s="37"/>
      <c r="O31" s="35">
        <f>AVERAGE(O4:O30)</f>
        <v>0.73043209876543203</v>
      </c>
      <c r="P31" s="35">
        <f>AVERAGE(P4:P30)</f>
        <v>0.47450617283950619</v>
      </c>
      <c r="Q31" s="35">
        <f>AVERAGE(Q4:Q30)</f>
        <v>0.60246913580246919</v>
      </c>
    </row>
    <row r="32" spans="1:17" x14ac:dyDescent="0.2">
      <c r="A32" s="26">
        <v>30</v>
      </c>
    </row>
    <row r="33" spans="1:30" x14ac:dyDescent="0.2">
      <c r="A33" s="26">
        <v>31</v>
      </c>
    </row>
    <row r="34" spans="1:30" x14ac:dyDescent="0.2">
      <c r="A34" s="26">
        <v>32</v>
      </c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</row>
    <row r="35" spans="1:30" x14ac:dyDescent="0.2">
      <c r="A35" s="26">
        <v>33</v>
      </c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</row>
    <row r="36" spans="1:30" x14ac:dyDescent="0.2">
      <c r="A36" s="26">
        <v>34</v>
      </c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</row>
    <row r="37" spans="1:30" s="22" customFormat="1" x14ac:dyDescent="0.2">
      <c r="A37" s="26">
        <v>35</v>
      </c>
      <c r="B37"/>
      <c r="C37" s="1"/>
      <c r="D37" s="1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</row>
    <row r="38" spans="1:30" ht="15" customHeight="1" x14ac:dyDescent="0.2"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</row>
    <row r="39" spans="1:30" x14ac:dyDescent="0.2"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</row>
    <row r="40" spans="1:30" x14ac:dyDescent="0.2"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</row>
    <row r="41" spans="1:30" x14ac:dyDescent="0.2"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</row>
    <row r="42" spans="1:30" x14ac:dyDescent="0.2"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</row>
    <row r="43" spans="1:30" x14ac:dyDescent="0.2">
      <c r="T43" s="64"/>
      <c r="U43" s="65"/>
      <c r="V43" s="65"/>
      <c r="W43" s="65"/>
      <c r="X43" s="65"/>
      <c r="Y43" s="65"/>
      <c r="Z43" s="64"/>
      <c r="AA43" s="64"/>
      <c r="AB43" s="64"/>
      <c r="AC43" s="64"/>
      <c r="AD43" s="64"/>
    </row>
    <row r="44" spans="1:30" x14ac:dyDescent="0.2">
      <c r="T44" s="64"/>
      <c r="U44" s="65"/>
      <c r="V44" s="65"/>
      <c r="W44" s="65"/>
      <c r="X44" s="65"/>
      <c r="Y44" s="65"/>
      <c r="Z44" s="64"/>
      <c r="AA44" s="64"/>
      <c r="AB44" s="64"/>
      <c r="AC44" s="64"/>
      <c r="AD44" s="64"/>
    </row>
    <row r="45" spans="1:30" x14ac:dyDescent="0.2"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</row>
    <row r="46" spans="1:30" x14ac:dyDescent="0.2"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</row>
    <row r="47" spans="1:30" x14ac:dyDescent="0.2"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</row>
    <row r="48" spans="1:30" x14ac:dyDescent="0.2"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</row>
    <row r="49" spans="19:30" x14ac:dyDescent="0.2"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</row>
    <row r="50" spans="19:30" x14ac:dyDescent="0.2"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</row>
    <row r="51" spans="19:30" x14ac:dyDescent="0.2"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</row>
    <row r="52" spans="19:30" x14ac:dyDescent="0.2"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</row>
    <row r="53" spans="19:30" x14ac:dyDescent="0.2"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</row>
    <row r="54" spans="19:30" x14ac:dyDescent="0.2"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</row>
    <row r="55" spans="19:30" x14ac:dyDescent="0.2"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</row>
    <row r="56" spans="19:30" x14ac:dyDescent="0.2"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</row>
    <row r="57" spans="19:30" x14ac:dyDescent="0.2"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</row>
    <row r="58" spans="19:30" x14ac:dyDescent="0.2"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</row>
    <row r="59" spans="19:30" x14ac:dyDescent="0.2">
      <c r="S59" s="23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</row>
    <row r="60" spans="19:30" x14ac:dyDescent="0.2"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</row>
    <row r="61" spans="19:30" x14ac:dyDescent="0.2"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</row>
    <row r="62" spans="19:30" x14ac:dyDescent="0.2"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</row>
    <row r="63" spans="19:30" x14ac:dyDescent="0.2"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</row>
    <row r="64" spans="19:30" x14ac:dyDescent="0.2"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</row>
    <row r="81" spans="2:27" ht="15.75" customHeight="1" x14ac:dyDescent="0.2">
      <c r="R81" s="23"/>
      <c r="U81" s="23"/>
      <c r="V81" s="23"/>
      <c r="W81" s="23"/>
      <c r="X81" s="23"/>
      <c r="Y81" s="23"/>
      <c r="Z81" s="23"/>
      <c r="AA81" s="23"/>
    </row>
    <row r="82" spans="2:27" s="23" customFormat="1" x14ac:dyDescent="0.2">
      <c r="B82"/>
      <c r="C82" s="1"/>
      <c r="D82" s="1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</row>
    <row r="102" spans="19:20" x14ac:dyDescent="0.2">
      <c r="S102" s="23"/>
      <c r="T102" s="23"/>
    </row>
    <row r="124" spans="2:27" x14ac:dyDescent="0.2">
      <c r="R124" s="23"/>
      <c r="U124" s="23"/>
      <c r="V124" s="23"/>
      <c r="W124" s="23"/>
      <c r="X124" s="23"/>
      <c r="Y124" s="23"/>
      <c r="Z124" s="23"/>
      <c r="AA124" s="23"/>
    </row>
    <row r="125" spans="2:27" s="23" customFormat="1" x14ac:dyDescent="0.2">
      <c r="B125"/>
      <c r="C125" s="1"/>
      <c r="D125" s="1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</row>
    <row r="126" spans="2:27" ht="15" customHeight="1" x14ac:dyDescent="0.2"/>
    <row r="199" spans="19:20" ht="15.75" customHeight="1" x14ac:dyDescent="0.2"/>
    <row r="204" spans="19:20" x14ac:dyDescent="0.2">
      <c r="S204" s="23"/>
      <c r="T204" s="23"/>
    </row>
    <row r="226" spans="2:27" x14ac:dyDescent="0.2">
      <c r="R226" s="23"/>
      <c r="U226" s="23"/>
      <c r="V226" s="23"/>
      <c r="W226" s="23"/>
      <c r="X226" s="23"/>
      <c r="Y226" s="23"/>
      <c r="Z226" s="23"/>
      <c r="AA226" s="23"/>
    </row>
    <row r="227" spans="2:27" s="23" customFormat="1" x14ac:dyDescent="0.2">
      <c r="B227"/>
      <c r="C227" s="1"/>
      <c r="D227" s="1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2:27" ht="15" customHeight="1" x14ac:dyDescent="0.2"/>
    <row r="287" ht="15.75" customHeight="1" x14ac:dyDescent="0.2"/>
  </sheetData>
  <mergeCells count="33">
    <mergeCell ref="B4:B7"/>
    <mergeCell ref="M9:M12"/>
    <mergeCell ref="B13:B18"/>
    <mergeCell ref="M13:M18"/>
    <mergeCell ref="M19:M21"/>
    <mergeCell ref="B19:B21"/>
    <mergeCell ref="B9:B12"/>
    <mergeCell ref="K2:L2"/>
    <mergeCell ref="J2:J3"/>
    <mergeCell ref="X43:X44"/>
    <mergeCell ref="A2:A3"/>
    <mergeCell ref="B2:B3"/>
    <mergeCell ref="F2:F3"/>
    <mergeCell ref="I2:I3"/>
    <mergeCell ref="C2:C3"/>
    <mergeCell ref="E2:E3"/>
    <mergeCell ref="D2:D3"/>
    <mergeCell ref="G2:G3"/>
    <mergeCell ref="H2:H3"/>
    <mergeCell ref="B25:B28"/>
    <mergeCell ref="B30:B31"/>
    <mergeCell ref="M22:M24"/>
    <mergeCell ref="B22:B24"/>
    <mergeCell ref="Y43:Y44"/>
    <mergeCell ref="N2:N3"/>
    <mergeCell ref="M2:M3"/>
    <mergeCell ref="Q2:Q3"/>
    <mergeCell ref="U43:U44"/>
    <mergeCell ref="V43:V44"/>
    <mergeCell ref="W43:W44"/>
    <mergeCell ref="O2:O3"/>
    <mergeCell ref="P2:P3"/>
    <mergeCell ref="M4:M7"/>
  </mergeCells>
  <conditionalFormatting sqref="O4:P30">
    <cfRule type="dataBar" priority="2097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{426CAE91-0CE8-4BCE-9A52-BF878557CB65}</x14:id>
        </ext>
      </extLst>
    </cfRule>
  </conditionalFormatting>
  <conditionalFormatting sqref="Q4:Q30">
    <cfRule type="dataBar" priority="2099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{ED87FA79-935E-4A17-AE43-2B035B78EEB2}</x14:id>
        </ext>
      </extLst>
    </cfRule>
  </conditionalFormatting>
  <conditionalFormatting sqref="J4:J12">
    <cfRule type="dataBar" priority="2137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{74E82894-1DB4-4099-9082-0A45CAF19D7C}</x14:id>
        </ext>
      </extLst>
    </cfRule>
  </conditionalFormatting>
  <conditionalFormatting sqref="K4:L12">
    <cfRule type="dataBar" priority="2138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{6B268825-8DD6-458F-A42A-50E99A0846DE}</x14:id>
        </ext>
      </extLst>
    </cfRule>
  </conditionalFormatting>
  <conditionalFormatting sqref="J13:L18 F4:I18 H19:H22">
    <cfRule type="dataBar" priority="2151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{E16865AF-9F9E-4F1F-9371-3D1DF7679D38}</x14:id>
        </ext>
      </extLst>
    </cfRule>
  </conditionalFormatting>
  <conditionalFormatting sqref="F19:G22 I19:L22">
    <cfRule type="dataBar" priority="2154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{92951A90-E6E5-6642-BA3C-FA4215CA3015}</x14:id>
        </ext>
      </extLst>
    </cfRule>
  </conditionalFormatting>
  <conditionalFormatting sqref="J23">
    <cfRule type="dataBar" priority="1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{03FB26B8-C92A-104E-BCA7-3C513FD4A342}</x14:id>
        </ext>
      </extLst>
    </cfRule>
  </conditionalFormatting>
  <conditionalFormatting sqref="K23:L23">
    <cfRule type="dataBar" priority="2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{F0FB5E56-C4A0-6149-90A3-A6A8C345B850}</x14:id>
        </ext>
      </extLst>
    </cfRule>
  </conditionalFormatting>
  <conditionalFormatting sqref="F23:I23">
    <cfRule type="dataBar" priority="3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{A7701281-750D-394E-8668-B78F9971137E}</x14:id>
        </ext>
      </extLst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6CAE91-0CE8-4BCE-9A52-BF878557CB6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O4:P30</xm:sqref>
        </x14:conditionalFormatting>
        <x14:conditionalFormatting xmlns:xm="http://schemas.microsoft.com/office/excel/2006/main">
          <x14:cfRule type="dataBar" id="{ED87FA79-935E-4A17-AE43-2B035B78EEB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Q4:Q30</xm:sqref>
        </x14:conditionalFormatting>
        <x14:conditionalFormatting xmlns:xm="http://schemas.microsoft.com/office/excel/2006/main">
          <x14:cfRule type="dataBar" id="{74E82894-1DB4-4099-9082-0A45CAF19D7C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J4:J12</xm:sqref>
        </x14:conditionalFormatting>
        <x14:conditionalFormatting xmlns:xm="http://schemas.microsoft.com/office/excel/2006/main">
          <x14:cfRule type="dataBar" id="{6B268825-8DD6-458F-A42A-50E99A0846D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K4:L12</xm:sqref>
        </x14:conditionalFormatting>
        <x14:conditionalFormatting xmlns:xm="http://schemas.microsoft.com/office/excel/2006/main">
          <x14:cfRule type="dataBar" id="{E16865AF-9F9E-4F1F-9371-3D1DF7679D3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J13:L18 F4:I18 H19:H22</xm:sqref>
        </x14:conditionalFormatting>
        <x14:conditionalFormatting xmlns:xm="http://schemas.microsoft.com/office/excel/2006/main">
          <x14:cfRule type="dataBar" id="{92951A90-E6E5-6642-BA3C-FA4215CA301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F19:G22 I19:L22</xm:sqref>
        </x14:conditionalFormatting>
        <x14:conditionalFormatting xmlns:xm="http://schemas.microsoft.com/office/excel/2006/main">
          <x14:cfRule type="dataBar" id="{03FB26B8-C92A-104E-BCA7-3C513FD4A34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J23</xm:sqref>
        </x14:conditionalFormatting>
        <x14:conditionalFormatting xmlns:xm="http://schemas.microsoft.com/office/excel/2006/main">
          <x14:cfRule type="dataBar" id="{F0FB5E56-C4A0-6149-90A3-A6A8C345B85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K23:L23</xm:sqref>
        </x14:conditionalFormatting>
        <x14:conditionalFormatting xmlns:xm="http://schemas.microsoft.com/office/excel/2006/main">
          <x14:cfRule type="dataBar" id="{A7701281-750D-394E-8668-B78F9971137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F23:I23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A1D1A-86FE-5040-A50D-B9096D4DB780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C5E7-5A5E-ED40-98A1-87866B4BCEAE}">
  <dimension ref="A1:C2"/>
  <sheetViews>
    <sheetView workbookViewId="0">
      <selection activeCell="B26" sqref="B26"/>
    </sheetView>
  </sheetViews>
  <sheetFormatPr baseColWidth="10" defaultRowHeight="15" x14ac:dyDescent="0.2"/>
  <cols>
    <col min="1" max="1" width="15.33203125" bestFit="1" customWidth="1"/>
    <col min="2" max="2" width="27.5" bestFit="1" customWidth="1"/>
    <col min="3" max="3" width="17.83203125" bestFit="1" customWidth="1"/>
  </cols>
  <sheetData>
    <row r="1" spans="1:3" x14ac:dyDescent="0.2">
      <c r="A1" s="17" t="s">
        <v>72</v>
      </c>
      <c r="B1" s="17" t="s">
        <v>74</v>
      </c>
      <c r="C1" s="18" t="s">
        <v>73</v>
      </c>
    </row>
    <row r="2" spans="1:3" x14ac:dyDescent="0.2">
      <c r="A2" s="17">
        <v>34</v>
      </c>
      <c r="B2" s="17">
        <v>24</v>
      </c>
      <c r="C2" s="17">
        <v>10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E185"/>
  <sheetViews>
    <sheetView workbookViewId="0">
      <selection activeCell="C48" sqref="C48"/>
    </sheetView>
  </sheetViews>
  <sheetFormatPr baseColWidth="10" defaultColWidth="11.5" defaultRowHeight="15" x14ac:dyDescent="0.2"/>
  <cols>
    <col min="1" max="1" width="21.5" customWidth="1"/>
    <col min="2" max="2" width="14.1640625" customWidth="1"/>
    <col min="3" max="3" width="22.5" customWidth="1"/>
    <col min="4" max="4" width="22.33203125" customWidth="1"/>
    <col min="5" max="5" width="34.5" customWidth="1"/>
    <col min="6" max="6" width="24.1640625" customWidth="1"/>
    <col min="7" max="7" width="14.5" customWidth="1"/>
    <col min="10" max="10" width="17.83203125" customWidth="1"/>
    <col min="11" max="11" width="15.6640625" customWidth="1"/>
    <col min="12" max="12" width="19.1640625" customWidth="1"/>
    <col min="14" max="14" width="15.5" bestFit="1" customWidth="1"/>
    <col min="15" max="15" width="17" customWidth="1"/>
    <col min="16" max="16" width="19.33203125" customWidth="1"/>
    <col min="18" max="19" width="20" customWidth="1"/>
    <col min="24" max="24" width="17.5" bestFit="1" customWidth="1"/>
    <col min="26" max="26" width="15.5" customWidth="1"/>
    <col min="27" max="27" width="15.83203125" bestFit="1" customWidth="1"/>
    <col min="30" max="30" width="13.33203125" bestFit="1" customWidth="1"/>
    <col min="31" max="31" width="15.83203125" bestFit="1" customWidth="1"/>
  </cols>
  <sheetData>
    <row r="1" spans="1:31" x14ac:dyDescent="0.2">
      <c r="B1" s="4" t="s">
        <v>13</v>
      </c>
      <c r="C1" s="4" t="s">
        <v>14</v>
      </c>
      <c r="D1" s="4" t="s">
        <v>15</v>
      </c>
      <c r="E1" s="4" t="s">
        <v>16</v>
      </c>
      <c r="F1" s="4" t="s">
        <v>17</v>
      </c>
      <c r="G1" s="5" t="s">
        <v>9</v>
      </c>
      <c r="J1" s="63" t="s">
        <v>18</v>
      </c>
      <c r="K1" s="63"/>
      <c r="L1" s="63"/>
      <c r="R1" s="63" t="s">
        <v>19</v>
      </c>
      <c r="S1" s="63"/>
      <c r="T1" s="63"/>
      <c r="U1" s="63"/>
      <c r="V1" s="63"/>
    </row>
    <row r="2" spans="1:31" x14ac:dyDescent="0.2">
      <c r="A2" s="62" t="s">
        <v>10</v>
      </c>
      <c r="B2" s="6" t="s">
        <v>20</v>
      </c>
      <c r="C2" s="7">
        <f>AVERAGE('Flujos Automatizados Movil'!F4:F8)</f>
        <v>1</v>
      </c>
      <c r="D2" s="7">
        <f>AVERAGE('Flujos Automatizados Movil'!G4:G8)</f>
        <v>1</v>
      </c>
      <c r="E2" s="7">
        <f>AVERAGE(C2:D2)</f>
        <v>1</v>
      </c>
      <c r="F2" s="7">
        <f>AVERAGE('Flujos Automatizados Movil'!O4:O10)</f>
        <v>1</v>
      </c>
      <c r="G2" s="7">
        <f>AVERAGE(E2:F2)</f>
        <v>1</v>
      </c>
      <c r="H2" s="6"/>
      <c r="J2" s="17" t="s">
        <v>21</v>
      </c>
      <c r="K2" s="17" t="s">
        <v>22</v>
      </c>
      <c r="L2" s="18" t="s">
        <v>23</v>
      </c>
      <c r="R2" s="18"/>
      <c r="S2" s="17" t="s">
        <v>12</v>
      </c>
      <c r="T2" s="17" t="s">
        <v>24</v>
      </c>
      <c r="U2" s="17" t="s">
        <v>25</v>
      </c>
      <c r="V2" s="17" t="s">
        <v>26</v>
      </c>
      <c r="Z2" s="18"/>
      <c r="AA2" s="17" t="s">
        <v>27</v>
      </c>
      <c r="AB2" s="17" t="s">
        <v>28</v>
      </c>
      <c r="AC2" s="17" t="s">
        <v>29</v>
      </c>
      <c r="AD2" s="17" t="s">
        <v>30</v>
      </c>
      <c r="AE2" s="18" t="s">
        <v>31</v>
      </c>
    </row>
    <row r="3" spans="1:31" x14ac:dyDescent="0.2">
      <c r="A3" s="62"/>
      <c r="B3" s="6" t="s">
        <v>32</v>
      </c>
      <c r="C3" s="7">
        <f>AVERAGE('Flujos Automatizados Movil'!F4:F8)</f>
        <v>1</v>
      </c>
      <c r="D3" s="7">
        <f>AVERAGE('Flujos Automatizados Movil'!G4:G8)</f>
        <v>1</v>
      </c>
      <c r="E3" s="7">
        <f>AVERAGE(C3:D3)</f>
        <v>1</v>
      </c>
      <c r="F3" s="7">
        <f>AVERAGE('Flujos Automatizados Movil'!P4:P10)</f>
        <v>0.84952380952380957</v>
      </c>
      <c r="G3" s="7">
        <f>AVERAGE(E3:F3)</f>
        <v>0.92476190476190478</v>
      </c>
      <c r="H3" s="6"/>
      <c r="J3" s="19" t="e">
        <f>AVERAGE('Flujos Automatizados Movil'!Q6:Q7,'Flujos Automatizados Movil'!#REF!,'Flujos Automatizados Movil'!#REF!,'Flujos Automatizados Movil'!#REF!,'Flujos Automatizados Movil'!#REF!)</f>
        <v>#REF!</v>
      </c>
      <c r="K3" s="19" t="e">
        <f>AVERAGE('Flujos Automatizados Movil'!Q4:Q5,'Flujos Automatizados Movil'!#REF!,'Flujos Automatizados Movil'!Q9:Q10,'Flujos Automatizados Movil'!#REF!,'Flujos Automatizados Movil'!#REF!)</f>
        <v>#REF!</v>
      </c>
      <c r="L3" s="19" t="e">
        <f>AVERAGE('Flujos Automatizados Movil'!Q8,'Flujos Automatizados Movil'!#REF!,'Flujos Automatizados Movil'!#REF!,'Flujos Automatizados Movil'!#REF!)</f>
        <v>#REF!</v>
      </c>
      <c r="R3" s="17" t="s">
        <v>21</v>
      </c>
      <c r="S3" s="19" t="e">
        <f>J142</f>
        <v>#REF!</v>
      </c>
      <c r="T3" s="19" t="e">
        <f>J95</f>
        <v>#REF!</v>
      </c>
      <c r="U3" s="19" t="e">
        <f>J49</f>
        <v>#REF!</v>
      </c>
      <c r="V3" s="19" t="e">
        <f>J3</f>
        <v>#REF!</v>
      </c>
      <c r="Z3" s="17" t="s">
        <v>21</v>
      </c>
      <c r="AA3" s="19" t="e">
        <f>J181</f>
        <v>#REF!</v>
      </c>
      <c r="AB3" s="19" t="e">
        <f>J172</f>
        <v>#REF!</v>
      </c>
      <c r="AC3" s="19" t="e">
        <f>J154</f>
        <v>#REF!</v>
      </c>
      <c r="AD3" s="19" t="e">
        <f>J163</f>
        <v>#REF!</v>
      </c>
      <c r="AE3" s="19">
        <v>0</v>
      </c>
    </row>
    <row r="4" spans="1:31" x14ac:dyDescent="0.2">
      <c r="A4" s="62"/>
      <c r="B4" s="6" t="s">
        <v>33</v>
      </c>
      <c r="C4" s="7">
        <f>AVERAGE('Flujos Automatizados Movil'!F4:F8)</f>
        <v>1</v>
      </c>
      <c r="D4" s="7">
        <f>AVERAGE('Flujos Automatizados Movil'!G4:G8)</f>
        <v>1</v>
      </c>
      <c r="E4" s="7">
        <f>AVERAGE(C4:D4)</f>
        <v>1</v>
      </c>
      <c r="F4" s="7" t="e">
        <f>AVERAGE('Flujos Automatizados Movil'!#REF!)</f>
        <v>#REF!</v>
      </c>
      <c r="G4" s="7" t="e">
        <f>AVERAGE(E4:F4)</f>
        <v>#REF!</v>
      </c>
      <c r="H4" s="6"/>
      <c r="R4" s="17" t="s">
        <v>22</v>
      </c>
      <c r="S4" s="19" t="e">
        <f>K142</f>
        <v>#REF!</v>
      </c>
      <c r="T4" s="19" t="e">
        <f>K49</f>
        <v>#REF!</v>
      </c>
      <c r="U4" s="19" t="e">
        <f>K49</f>
        <v>#REF!</v>
      </c>
      <c r="V4" s="19" t="e">
        <f>K3</f>
        <v>#REF!</v>
      </c>
      <c r="Z4" s="17" t="s">
        <v>22</v>
      </c>
      <c r="AA4" s="19" t="e">
        <f>K181</f>
        <v>#REF!</v>
      </c>
      <c r="AB4" s="19" t="e">
        <f>K172</f>
        <v>#REF!</v>
      </c>
      <c r="AC4" s="19" t="e">
        <f>K154</f>
        <v>#REF!</v>
      </c>
      <c r="AD4" s="19" t="e">
        <f>K163</f>
        <v>#REF!</v>
      </c>
      <c r="AE4" s="19">
        <v>0</v>
      </c>
    </row>
    <row r="5" spans="1:31" x14ac:dyDescent="0.2">
      <c r="A5" s="62"/>
      <c r="B5" s="6" t="s">
        <v>34</v>
      </c>
      <c r="C5" s="7">
        <f>AVERAGE('Flujos Automatizados Movil'!F4:F8)</f>
        <v>1</v>
      </c>
      <c r="D5" s="7">
        <f>AVERAGE('Flujos Automatizados Movil'!G4:G8)</f>
        <v>1</v>
      </c>
      <c r="E5" s="7">
        <f>AVERAGE(C5:D5)</f>
        <v>1</v>
      </c>
      <c r="F5" s="7" t="e">
        <f>AVERAGE('Flujos Automatizados Movil'!#REF!)</f>
        <v>#REF!</v>
      </c>
      <c r="G5" s="7" t="e">
        <f>AVERAGE(E5:F5)</f>
        <v>#REF!</v>
      </c>
      <c r="H5" s="6"/>
      <c r="J5" s="63" t="s">
        <v>35</v>
      </c>
      <c r="K5" s="63"/>
      <c r="L5" s="63"/>
      <c r="R5" s="17" t="s">
        <v>23</v>
      </c>
      <c r="S5" s="19" t="e">
        <f>L142</f>
        <v>#REF!</v>
      </c>
      <c r="T5" s="19" t="e">
        <f>L95</f>
        <v>#REF!</v>
      </c>
      <c r="U5" s="19" t="e">
        <f>L49</f>
        <v>#REF!</v>
      </c>
      <c r="V5" s="19" t="e">
        <f>L3</f>
        <v>#REF!</v>
      </c>
      <c r="Z5" s="17" t="s">
        <v>23</v>
      </c>
      <c r="AA5" s="19" t="e">
        <f>L181</f>
        <v>#REF!</v>
      </c>
      <c r="AB5" s="19" t="e">
        <f>L172</f>
        <v>#REF!</v>
      </c>
      <c r="AC5" s="19" t="e">
        <f>L154</f>
        <v>#REF!</v>
      </c>
      <c r="AD5" s="19" t="e">
        <f>L163</f>
        <v>#REF!</v>
      </c>
      <c r="AE5" s="19">
        <v>0</v>
      </c>
    </row>
    <row r="6" spans="1:31" x14ac:dyDescent="0.2">
      <c r="A6" s="62"/>
      <c r="B6" s="8" t="s">
        <v>36</v>
      </c>
      <c r="C6" s="7">
        <f>AVERAGE(C2:C5)</f>
        <v>1</v>
      </c>
      <c r="D6" s="7">
        <f>AVERAGE(D2:D5)</f>
        <v>1</v>
      </c>
      <c r="E6" s="7">
        <f>AVERAGE(E2:E5)</f>
        <v>1</v>
      </c>
      <c r="F6" s="7" t="e">
        <f t="shared" ref="F6" si="0">AVERAGE(F2:F5)</f>
        <v>#REF!</v>
      </c>
      <c r="G6" s="7" t="e">
        <f>AVERAGE(G2:G5)</f>
        <v>#REF!</v>
      </c>
      <c r="H6" s="6"/>
      <c r="J6" s="17" t="s">
        <v>21</v>
      </c>
      <c r="K6" s="17" t="s">
        <v>22</v>
      </c>
      <c r="L6" s="18" t="s">
        <v>23</v>
      </c>
    </row>
    <row r="7" spans="1:31" x14ac:dyDescent="0.2">
      <c r="B7" s="6"/>
      <c r="C7" s="6"/>
      <c r="D7" s="6"/>
      <c r="E7" s="6"/>
      <c r="F7" s="7"/>
      <c r="G7" s="6"/>
      <c r="H7" s="6"/>
      <c r="J7" s="19" t="e">
        <f>AVERAGE('Flujos Automatizados Movil'!#REF!,'Flujos Automatizados Movil'!#REF!,'Flujos Automatizados Movil'!#REF!,'Flujos Automatizados Movil'!#REF!,'Flujos Automatizados Movil'!#REF!)</f>
        <v>#REF!</v>
      </c>
      <c r="K7" s="19" t="e">
        <f>AVERAGE('Flujos Automatizados Movil'!#REF!,'Flujos Automatizados Movil'!#REF!,'Flujos Automatizados Movil'!#REF!,'Flujos Automatizados Movil'!#REF!,'Flujos Automatizados Movil'!#REF!,'Flujos Automatizados Movil'!#REF!)</f>
        <v>#REF!</v>
      </c>
      <c r="L7" s="19" t="e">
        <f>AVERAGE('Flujos Automatizados Movil'!#REF!,'Flujos Automatizados Movil'!#REF!,'Flujos Automatizados Movil'!#REF!,'Flujos Automatizados Movil'!#REF!)</f>
        <v>#REF!</v>
      </c>
    </row>
    <row r="29" spans="1:22" x14ac:dyDescent="0.2">
      <c r="A29" s="9"/>
      <c r="B29" s="10"/>
      <c r="T29" s="21" t="s">
        <v>37</v>
      </c>
      <c r="U29" s="21" t="s">
        <v>25</v>
      </c>
      <c r="V29" s="21" t="s">
        <v>24</v>
      </c>
    </row>
    <row r="30" spans="1:22" x14ac:dyDescent="0.2">
      <c r="A30" s="9"/>
      <c r="B30" s="10"/>
      <c r="R30" t="s">
        <v>38</v>
      </c>
      <c r="T30">
        <v>11</v>
      </c>
      <c r="U30">
        <v>8</v>
      </c>
      <c r="V30">
        <v>7</v>
      </c>
    </row>
    <row r="31" spans="1:22" x14ac:dyDescent="0.2">
      <c r="R31" t="s">
        <v>39</v>
      </c>
      <c r="T31">
        <v>6</v>
      </c>
      <c r="U31">
        <v>4</v>
      </c>
      <c r="V31">
        <v>18</v>
      </c>
    </row>
    <row r="32" spans="1:22" x14ac:dyDescent="0.2">
      <c r="R32" t="s">
        <v>40</v>
      </c>
      <c r="T32">
        <v>19</v>
      </c>
      <c r="U32">
        <v>6</v>
      </c>
      <c r="V32">
        <v>32</v>
      </c>
    </row>
    <row r="33" spans="1:22" x14ac:dyDescent="0.2">
      <c r="R33" t="s">
        <v>41</v>
      </c>
      <c r="T33">
        <f>SUM(T30:T32)</f>
        <v>36</v>
      </c>
      <c r="U33">
        <f t="shared" ref="U33:V33" si="1">SUM(U30:U32)</f>
        <v>18</v>
      </c>
      <c r="V33">
        <f t="shared" si="1"/>
        <v>57</v>
      </c>
    </row>
    <row r="35" spans="1:22" x14ac:dyDescent="0.2">
      <c r="T35" s="21" t="s">
        <v>37</v>
      </c>
      <c r="U35" s="21" t="s">
        <v>25</v>
      </c>
      <c r="V35" s="21" t="s">
        <v>24</v>
      </c>
    </row>
    <row r="36" spans="1:22" x14ac:dyDescent="0.2">
      <c r="R36" t="s">
        <v>42</v>
      </c>
      <c r="T36">
        <f>T33*3</f>
        <v>108</v>
      </c>
      <c r="U36">
        <f>U33*3</f>
        <v>54</v>
      </c>
      <c r="V36">
        <f>V33*3</f>
        <v>171</v>
      </c>
    </row>
    <row r="37" spans="1:22" x14ac:dyDescent="0.2">
      <c r="R37" t="s">
        <v>43</v>
      </c>
      <c r="T37">
        <f>T36*20/60</f>
        <v>36</v>
      </c>
      <c r="U37">
        <f>U36*20/60</f>
        <v>18</v>
      </c>
      <c r="V37">
        <f>V36*20/60</f>
        <v>57</v>
      </c>
    </row>
    <row r="38" spans="1:22" x14ac:dyDescent="0.2">
      <c r="R38" t="s">
        <v>44</v>
      </c>
    </row>
    <row r="47" spans="1:22" x14ac:dyDescent="0.2">
      <c r="B47" s="4" t="s">
        <v>13</v>
      </c>
      <c r="C47" s="4" t="s">
        <v>14</v>
      </c>
      <c r="D47" s="4" t="s">
        <v>15</v>
      </c>
      <c r="E47" s="4" t="s">
        <v>16</v>
      </c>
      <c r="F47" s="4" t="s">
        <v>17</v>
      </c>
      <c r="G47" s="5" t="s">
        <v>9</v>
      </c>
      <c r="J47" s="63" t="s">
        <v>45</v>
      </c>
      <c r="K47" s="63"/>
      <c r="L47" s="63"/>
    </row>
    <row r="48" spans="1:22" x14ac:dyDescent="0.2">
      <c r="A48" s="62" t="s">
        <v>46</v>
      </c>
      <c r="B48" s="6" t="s">
        <v>20</v>
      </c>
      <c r="C48" s="7" t="e">
        <f>AVERAGE('Flujos Automatizados Movil'!#REF!)</f>
        <v>#REF!</v>
      </c>
      <c r="D48" s="7" t="e">
        <f>AVERAGE('Flujos Automatizados Movil'!#REF!)</f>
        <v>#REF!</v>
      </c>
      <c r="E48" s="7" t="e">
        <f>AVERAGE(C48:D48)</f>
        <v>#REF!</v>
      </c>
      <c r="F48" s="7" t="e">
        <f>AVERAGE('Flujos Automatizados Movil'!#REF!)</f>
        <v>#REF!</v>
      </c>
      <c r="G48" s="7" t="e">
        <f>AVERAGE(E48:F48)</f>
        <v>#REF!</v>
      </c>
      <c r="J48" s="17" t="s">
        <v>21</v>
      </c>
      <c r="K48" s="17" t="s">
        <v>22</v>
      </c>
      <c r="L48" s="18" t="s">
        <v>23</v>
      </c>
    </row>
    <row r="49" spans="1:12" x14ac:dyDescent="0.2">
      <c r="A49" s="62"/>
      <c r="B49" s="6" t="s">
        <v>32</v>
      </c>
      <c r="C49" s="7" t="e">
        <f>AVERAGE('Flujos Automatizados Movil'!#REF!)</f>
        <v>#REF!</v>
      </c>
      <c r="D49" s="7" t="e">
        <f>AVERAGE('Flujos Automatizados Movil'!#REF!)</f>
        <v>#REF!</v>
      </c>
      <c r="E49" s="7" t="e">
        <f>AVERAGE(C49:D49)</f>
        <v>#REF!</v>
      </c>
      <c r="F49" s="7" t="e">
        <f>AVERAGE('Flujos Automatizados Movil'!#REF!)</f>
        <v>#REF!</v>
      </c>
      <c r="G49" s="7" t="e">
        <f>AVERAGE(E49:F49)</f>
        <v>#REF!</v>
      </c>
      <c r="J49" s="19" t="e">
        <f>AVERAGE('Flujos Automatizados Movil'!#REF!,'Flujos Automatizados Movil'!#REF!,'Flujos Automatizados Movil'!#REF!,'Flujos Automatizados Movil'!#REF!)</f>
        <v>#REF!</v>
      </c>
      <c r="K49" s="19" t="e">
        <f>AVERAGE('Flujos Automatizados Movil'!#REF!,'Flujos Automatizados Movil'!#REF!,'Flujos Automatizados Movil'!#REF!,'Flujos Automatizados Movil'!#REF!)</f>
        <v>#REF!</v>
      </c>
      <c r="L49" s="19" t="e">
        <f>AVERAGE('Flujos Automatizados Movil'!#REF!,'Flujos Automatizados Movil'!#REF!,'Flujos Automatizados Movil'!#REF!)</f>
        <v>#REF!</v>
      </c>
    </row>
    <row r="50" spans="1:12" x14ac:dyDescent="0.2">
      <c r="A50" s="62"/>
      <c r="B50" s="6" t="s">
        <v>33</v>
      </c>
      <c r="C50" s="7" t="e">
        <f>AVERAGE('Flujos Automatizados Movil'!#REF!)</f>
        <v>#REF!</v>
      </c>
      <c r="D50" s="7" t="e">
        <f>AVERAGE('Flujos Automatizados Movil'!#REF!)</f>
        <v>#REF!</v>
      </c>
      <c r="E50" s="7" t="e">
        <f>AVERAGE(C50:D50)</f>
        <v>#REF!</v>
      </c>
      <c r="F50" s="7">
        <v>0</v>
      </c>
      <c r="G50" s="7" t="e">
        <f>AVERAGE(E50:F50)</f>
        <v>#REF!</v>
      </c>
    </row>
    <row r="51" spans="1:12" x14ac:dyDescent="0.2">
      <c r="A51" s="62"/>
      <c r="B51" s="6" t="s">
        <v>34</v>
      </c>
      <c r="C51" s="7" t="e">
        <f>AVERAGE('Flujos Automatizados Movil'!#REF!)</f>
        <v>#REF!</v>
      </c>
      <c r="D51" s="7" t="e">
        <f>AVERAGE('Flujos Automatizados Movil'!#REF!)</f>
        <v>#REF!</v>
      </c>
      <c r="E51" s="7" t="e">
        <f>AVERAGE(C51:D51)</f>
        <v>#REF!</v>
      </c>
      <c r="F51" s="7">
        <v>0</v>
      </c>
      <c r="G51" s="7" t="e">
        <f>AVERAGE(E51:F51)</f>
        <v>#REF!</v>
      </c>
      <c r="J51" s="63" t="s">
        <v>47</v>
      </c>
      <c r="K51" s="63"/>
      <c r="L51" s="63"/>
    </row>
    <row r="52" spans="1:12" x14ac:dyDescent="0.2">
      <c r="A52" s="62"/>
      <c r="B52" s="8" t="s">
        <v>36</v>
      </c>
      <c r="C52" s="7" t="e">
        <f>AVERAGE(C48:C51)</f>
        <v>#REF!</v>
      </c>
      <c r="D52" s="7" t="e">
        <f>AVERAGE(D48:D51)</f>
        <v>#REF!</v>
      </c>
      <c r="E52" s="7" t="e">
        <f>AVERAGE(E48:E51)</f>
        <v>#REF!</v>
      </c>
      <c r="F52" s="7" t="e">
        <f t="shared" ref="F52" si="2">AVERAGE(F48:F51)</f>
        <v>#REF!</v>
      </c>
      <c r="G52" s="7" t="e">
        <f>AVERAGE(G48:G51)</f>
        <v>#REF!</v>
      </c>
      <c r="J52" s="17" t="s">
        <v>21</v>
      </c>
      <c r="K52" s="17" t="s">
        <v>22</v>
      </c>
      <c r="L52" s="18" t="s">
        <v>23</v>
      </c>
    </row>
    <row r="53" spans="1:12" x14ac:dyDescent="0.2">
      <c r="J53" s="19" t="e">
        <f>AVERAGE('Flujos Automatizados Movil'!#REF!,'Flujos Automatizados Movil'!#REF!,'Flujos Automatizados Movil'!#REF!,'Flujos Automatizados Movil'!#REF!)</f>
        <v>#REF!</v>
      </c>
      <c r="K53" s="19" t="e">
        <f>AVERAGE('Flujos Automatizados Movil'!#REF!,'Flujos Automatizados Movil'!#REF!,'Flujos Automatizados Movil'!#REF!,'Flujos Automatizados Movil'!#REF!)</f>
        <v>#REF!</v>
      </c>
      <c r="L53" s="19" t="e">
        <f>AVERAGE('Flujos Automatizados Movil'!#REF!,'Flujos Automatizados Movil'!#REF!,'Flujos Automatizados Movil'!#REF!)</f>
        <v>#REF!</v>
      </c>
    </row>
    <row r="93" spans="1:12" x14ac:dyDescent="0.2">
      <c r="B93" s="4" t="s">
        <v>13</v>
      </c>
      <c r="C93" s="4" t="s">
        <v>14</v>
      </c>
      <c r="D93" s="4" t="s">
        <v>15</v>
      </c>
      <c r="E93" s="4" t="s">
        <v>16</v>
      </c>
      <c r="F93" s="4" t="s">
        <v>17</v>
      </c>
      <c r="G93" s="5" t="s">
        <v>9</v>
      </c>
      <c r="J93" s="63" t="s">
        <v>48</v>
      </c>
      <c r="K93" s="63"/>
      <c r="L93" s="63"/>
    </row>
    <row r="94" spans="1:12" x14ac:dyDescent="0.2">
      <c r="A94" s="62" t="s">
        <v>49</v>
      </c>
      <c r="B94" s="6" t="s">
        <v>20</v>
      </c>
      <c r="C94" s="7" t="e">
        <f>AVERAGE('Flujos Automatizados Movil'!#REF!)</f>
        <v>#REF!</v>
      </c>
      <c r="D94" s="7" t="e">
        <f>AVERAGE('Flujos Automatizados Movil'!#REF!)</f>
        <v>#REF!</v>
      </c>
      <c r="E94" s="7" t="e">
        <f>AVERAGE(C94:D94)</f>
        <v>#REF!</v>
      </c>
      <c r="F94" s="7" t="e">
        <f>AVERAGE('Flujos Automatizados Movil'!#REF!)</f>
        <v>#REF!</v>
      </c>
      <c r="G94" s="7" t="e">
        <f>AVERAGE(E94:F94)</f>
        <v>#REF!</v>
      </c>
      <c r="J94" s="17" t="s">
        <v>21</v>
      </c>
      <c r="K94" s="17" t="s">
        <v>22</v>
      </c>
      <c r="L94" s="18" t="s">
        <v>23</v>
      </c>
    </row>
    <row r="95" spans="1:12" x14ac:dyDescent="0.2">
      <c r="A95" s="62"/>
      <c r="B95" s="6" t="s">
        <v>32</v>
      </c>
      <c r="C95" s="7" t="e">
        <f>AVERAGE('Flujos Automatizados Movil'!#REF!)</f>
        <v>#REF!</v>
      </c>
      <c r="D95" s="7" t="e">
        <f>AVERAGE('Flujos Automatizados Movil'!#REF!)</f>
        <v>#REF!</v>
      </c>
      <c r="E95" s="7" t="e">
        <f>AVERAGE(C95:D95)</f>
        <v>#REF!</v>
      </c>
      <c r="F95" s="7" t="e">
        <f>AVERAGE('Flujos Automatizados Movil'!#REF!)</f>
        <v>#REF!</v>
      </c>
      <c r="G95" s="7" t="e">
        <f>AVERAGE(E95:F95)</f>
        <v>#REF!</v>
      </c>
      <c r="J95" s="19" t="e">
        <f>AVERAGE('Flujos Automatizados Movil'!#REF!,'Flujos Automatizados Movil'!#REF!,'Flujos Automatizados Movil'!#REF!,'Flujos Automatizados Movil'!#REF!,'Flujos Automatizados Movil'!#REF!)</f>
        <v>#REF!</v>
      </c>
      <c r="K95" s="19" t="e">
        <f>AVERAGE('Flujos Automatizados Movil'!#REF!,'Flujos Automatizados Movil'!#REF!,'Flujos Automatizados Movil'!#REF!,'Flujos Automatizados Movil'!#REF!,'Flujos Automatizados Movil'!#REF!)</f>
        <v>#REF!</v>
      </c>
      <c r="L95" s="19" t="e">
        <f>AVERAGE('Flujos Automatizados Movil'!#REF!,'Flujos Automatizados Movil'!#REF!,'Flujos Automatizados Movil'!#REF!,'Flujos Automatizados Movil'!#REF!)</f>
        <v>#REF!</v>
      </c>
    </row>
    <row r="96" spans="1:12" x14ac:dyDescent="0.2">
      <c r="A96" s="62"/>
      <c r="B96" s="6" t="s">
        <v>33</v>
      </c>
      <c r="C96" s="7" t="e">
        <f>AVERAGE('Flujos Automatizados Movil'!#REF!)</f>
        <v>#REF!</v>
      </c>
      <c r="D96" s="7" t="e">
        <f>AVERAGE('Flujos Automatizados Movil'!#REF!)</f>
        <v>#REF!</v>
      </c>
      <c r="E96" s="7" t="e">
        <f>AVERAGE(C96:D96)</f>
        <v>#REF!</v>
      </c>
      <c r="F96" s="7">
        <v>0</v>
      </c>
      <c r="G96" s="7" t="e">
        <f>AVERAGE(E96:F96)</f>
        <v>#REF!</v>
      </c>
    </row>
    <row r="97" spans="1:12" x14ac:dyDescent="0.2">
      <c r="A97" s="62"/>
      <c r="B97" s="6" t="s">
        <v>34</v>
      </c>
      <c r="C97" s="7" t="e">
        <f>AVERAGE('Flujos Automatizados Movil'!#REF!)</f>
        <v>#REF!</v>
      </c>
      <c r="D97" s="7" t="e">
        <f>AVERAGE('Flujos Automatizados Movil'!#REF!)</f>
        <v>#REF!</v>
      </c>
      <c r="E97" s="7" t="e">
        <f>AVERAGE(C97:D97)</f>
        <v>#REF!</v>
      </c>
      <c r="F97" s="7">
        <v>0</v>
      </c>
      <c r="G97" s="7" t="e">
        <f>AVERAGE(E97:F97)</f>
        <v>#REF!</v>
      </c>
      <c r="J97" s="63" t="s">
        <v>50</v>
      </c>
      <c r="K97" s="63"/>
      <c r="L97" s="63"/>
    </row>
    <row r="98" spans="1:12" x14ac:dyDescent="0.2">
      <c r="A98" s="62"/>
      <c r="B98" s="8" t="s">
        <v>36</v>
      </c>
      <c r="C98" s="7" t="e">
        <f>AVERAGE(C94:C97)</f>
        <v>#REF!</v>
      </c>
      <c r="D98" s="7" t="e">
        <f>AVERAGE(D94:D97)</f>
        <v>#REF!</v>
      </c>
      <c r="E98" s="7" t="e">
        <f>AVERAGE(E94:E97)</f>
        <v>#REF!</v>
      </c>
      <c r="F98" s="7" t="e">
        <f t="shared" ref="F98" si="3">AVERAGE(F94:F97)</f>
        <v>#REF!</v>
      </c>
      <c r="G98" s="7" t="e">
        <f>AVERAGE(G94:G97)</f>
        <v>#REF!</v>
      </c>
      <c r="J98" s="17" t="s">
        <v>21</v>
      </c>
      <c r="K98" s="17" t="s">
        <v>22</v>
      </c>
      <c r="L98" s="18" t="s">
        <v>23</v>
      </c>
    </row>
    <row r="99" spans="1:12" x14ac:dyDescent="0.2">
      <c r="J99" s="19" t="e">
        <f>AVERAGE('Flujos Automatizados Movil'!#REF!,'Flujos Automatizados Movil'!#REF!,'Flujos Automatizados Movil'!#REF!,'Flujos Automatizados Movil'!#REF!,'Flujos Automatizados Movil'!#REF!)</f>
        <v>#REF!</v>
      </c>
      <c r="K99" s="19" t="e">
        <f>AVERAGE('Flujos Automatizados Movil'!#REF!,'Flujos Automatizados Movil'!#REF!,'Flujos Automatizados Movil'!#REF!,'Flujos Automatizados Movil'!#REF!,'Flujos Automatizados Movil'!#REF!)</f>
        <v>#REF!</v>
      </c>
      <c r="L99" s="19" t="e">
        <f>AVERAGE('Flujos Automatizados Movil'!#REF!,'Flujos Automatizados Movil'!#REF!,'Flujos Automatizados Movil'!#REF!,'Flujos Automatizados Movil'!#REF!)</f>
        <v>#REF!</v>
      </c>
    </row>
    <row r="140" spans="1:12" x14ac:dyDescent="0.2">
      <c r="B140" s="4" t="s">
        <v>13</v>
      </c>
      <c r="C140" s="4" t="s">
        <v>14</v>
      </c>
      <c r="D140" s="4" t="s">
        <v>15</v>
      </c>
      <c r="E140" s="4" t="s">
        <v>16</v>
      </c>
      <c r="F140" s="4" t="s">
        <v>17</v>
      </c>
      <c r="G140" s="5" t="s">
        <v>9</v>
      </c>
      <c r="J140" s="63" t="s">
        <v>51</v>
      </c>
      <c r="K140" s="63"/>
      <c r="L140" s="63"/>
    </row>
    <row r="141" spans="1:12" x14ac:dyDescent="0.2">
      <c r="A141" s="62" t="s">
        <v>49</v>
      </c>
      <c r="B141" s="6" t="s">
        <v>20</v>
      </c>
      <c r="C141" s="7" t="e">
        <f>AVERAGE('Flujos Automatizados Movil'!#REF!)</f>
        <v>#REF!</v>
      </c>
      <c r="D141" s="7" t="e">
        <f>AVERAGE('Flujos Automatizados Movil'!#REF!)</f>
        <v>#REF!</v>
      </c>
      <c r="E141" s="7" t="e">
        <f>AVERAGE(C141:D141)</f>
        <v>#REF!</v>
      </c>
      <c r="F141" s="7" t="e">
        <f>AVERAGE('Flujos Automatizados Movil'!#REF!)</f>
        <v>#REF!</v>
      </c>
      <c r="G141" s="7" t="e">
        <f>AVERAGE(E141:F141)</f>
        <v>#REF!</v>
      </c>
      <c r="J141" s="17" t="s">
        <v>21</v>
      </c>
      <c r="K141" s="17" t="s">
        <v>22</v>
      </c>
      <c r="L141" s="18" t="s">
        <v>23</v>
      </c>
    </row>
    <row r="142" spans="1:12" x14ac:dyDescent="0.2">
      <c r="A142" s="62"/>
      <c r="B142" s="6" t="s">
        <v>32</v>
      </c>
      <c r="C142" s="7" t="e">
        <f>AVERAGE('Flujos Automatizados Movil'!#REF!)</f>
        <v>#REF!</v>
      </c>
      <c r="D142" s="7" t="e">
        <f>AVERAGE('Flujos Automatizados Movil'!#REF!)</f>
        <v>#REF!</v>
      </c>
      <c r="E142" s="7" t="e">
        <f>AVERAGE(C142:D142)</f>
        <v>#REF!</v>
      </c>
      <c r="F142" s="7" t="e">
        <f>AVERAGE('Flujos Automatizados Movil'!#REF!)</f>
        <v>#REF!</v>
      </c>
      <c r="G142" s="7" t="e">
        <f>AVERAGE(E142:F142)</f>
        <v>#REF!</v>
      </c>
      <c r="J142" s="19" t="e">
        <f>AVERAGE('Flujos Automatizados Movil'!#REF!,'Flujos Automatizados Movil'!#REF!,'Flujos Automatizados Movil'!#REF!)</f>
        <v>#REF!</v>
      </c>
      <c r="K142" s="19" t="e">
        <f>AVERAGE('Flujos Automatizados Movil'!#REF!,'Flujos Automatizados Movil'!#REF!,'Flujos Automatizados Movil'!#REF!,'Flujos Automatizados Movil'!#REF!)</f>
        <v>#REF!</v>
      </c>
      <c r="L142" s="19" t="e">
        <f>AVERAGE('Flujos Automatizados Movil'!#REF!,'Flujos Automatizados Movil'!#REF!,'Flujos Automatizados Movil'!#REF!,'Flujos Automatizados Movil'!#REF!)</f>
        <v>#REF!</v>
      </c>
    </row>
    <row r="143" spans="1:12" x14ac:dyDescent="0.2">
      <c r="A143" s="62"/>
      <c r="B143" s="6" t="s">
        <v>33</v>
      </c>
      <c r="C143" s="7" t="e">
        <f>AVERAGE('Flujos Automatizados Movil'!#REF!)</f>
        <v>#REF!</v>
      </c>
      <c r="D143" s="7" t="e">
        <f>AVERAGE('Flujos Automatizados Movil'!#REF!)</f>
        <v>#REF!</v>
      </c>
      <c r="E143" s="7" t="e">
        <f>AVERAGE(C143:D143)</f>
        <v>#REF!</v>
      </c>
      <c r="F143" s="7">
        <v>0</v>
      </c>
      <c r="G143" s="7" t="e">
        <f>AVERAGE(E143:F143)</f>
        <v>#REF!</v>
      </c>
    </row>
    <row r="144" spans="1:12" x14ac:dyDescent="0.2">
      <c r="A144" s="62"/>
      <c r="B144" s="6" t="s">
        <v>34</v>
      </c>
      <c r="C144" s="7" t="e">
        <f>AVERAGE('Flujos Automatizados Movil'!#REF!)</f>
        <v>#REF!</v>
      </c>
      <c r="D144" s="7" t="e">
        <f>AVERAGE('Flujos Automatizados Movil'!#REF!)</f>
        <v>#REF!</v>
      </c>
      <c r="E144" s="7" t="e">
        <f>AVERAGE(C144:D144)</f>
        <v>#REF!</v>
      </c>
      <c r="F144" s="7">
        <v>0</v>
      </c>
      <c r="G144" s="7" t="e">
        <f>AVERAGE(E144:F144)</f>
        <v>#REF!</v>
      </c>
      <c r="J144" s="63" t="s">
        <v>52</v>
      </c>
      <c r="K144" s="63"/>
      <c r="L144" s="63"/>
    </row>
    <row r="145" spans="1:12" x14ac:dyDescent="0.2">
      <c r="A145" s="62"/>
      <c r="B145" s="8" t="s">
        <v>36</v>
      </c>
      <c r="C145" s="7" t="e">
        <f>AVERAGE(C141:C144)</f>
        <v>#REF!</v>
      </c>
      <c r="D145" s="7" t="e">
        <f>AVERAGE(D141:D144)</f>
        <v>#REF!</v>
      </c>
      <c r="E145" s="7" t="e">
        <f>AVERAGE(E141:E144)</f>
        <v>#REF!</v>
      </c>
      <c r="F145" s="7" t="e">
        <f t="shared" ref="F145" si="4">AVERAGE(F141:F144)</f>
        <v>#REF!</v>
      </c>
      <c r="G145" s="7" t="e">
        <f>AVERAGE(G141:G144)</f>
        <v>#REF!</v>
      </c>
      <c r="J145" s="17" t="s">
        <v>21</v>
      </c>
      <c r="K145" s="17" t="s">
        <v>22</v>
      </c>
      <c r="L145" s="18" t="s">
        <v>23</v>
      </c>
    </row>
    <row r="146" spans="1:12" x14ac:dyDescent="0.2">
      <c r="J146" s="19" t="e">
        <f>AVERAGE('Flujos Automatizados Movil'!#REF!,'Flujos Automatizados Movil'!#REF!,'Flujos Automatizados Movil'!#REF!)</f>
        <v>#REF!</v>
      </c>
      <c r="K146" s="19" t="e">
        <f>AVERAGE('Flujos Automatizados Movil'!#REF!,'Flujos Automatizados Movil'!#REF!,'Flujos Automatizados Movil'!#REF!,'Flujos Automatizados Movil'!#REF!)</f>
        <v>#REF!</v>
      </c>
      <c r="L146" s="19" t="e">
        <f>AVERAGE('Flujos Automatizados Movil'!#REF!,'Flujos Automatizados Movil'!#REF!,'Flujos Automatizados Movil'!#REF!,'Flujos Automatizados Movil'!#REF!)</f>
        <v>#REF!</v>
      </c>
    </row>
    <row r="152" spans="1:12" x14ac:dyDescent="0.2">
      <c r="J152" s="63" t="s">
        <v>53</v>
      </c>
      <c r="K152" s="63"/>
      <c r="L152" s="63"/>
    </row>
    <row r="153" spans="1:12" x14ac:dyDescent="0.2">
      <c r="J153" s="17" t="s">
        <v>21</v>
      </c>
      <c r="K153" s="17" t="s">
        <v>22</v>
      </c>
      <c r="L153" s="18" t="s">
        <v>23</v>
      </c>
    </row>
    <row r="154" spans="1:12" x14ac:dyDescent="0.2">
      <c r="J154" s="19" t="e">
        <f>AVERAGE('Flujos Automatizados Movil'!#REF!,'Flujos Automatizados Movil'!#REF!,'Flujos Automatizados Movil'!#REF!,'Flujos Automatizados Movil'!#REF!)</f>
        <v>#REF!</v>
      </c>
      <c r="K154" s="19" t="e">
        <f>AVERAGE('Flujos Automatizados Movil'!#REF!,'Flujos Automatizados Movil'!#REF!,'Flujos Automatizados Movil'!#REF!,'Flujos Automatizados Movil'!#REF!)</f>
        <v>#REF!</v>
      </c>
      <c r="L154" s="19" t="e">
        <f>AVERAGE('Flujos Automatizados Movil'!#REF!)</f>
        <v>#REF!</v>
      </c>
    </row>
    <row r="156" spans="1:12" x14ac:dyDescent="0.2">
      <c r="J156" s="63" t="s">
        <v>54</v>
      </c>
      <c r="K156" s="63"/>
      <c r="L156" s="63"/>
    </row>
    <row r="157" spans="1:12" x14ac:dyDescent="0.2">
      <c r="J157" s="17" t="s">
        <v>21</v>
      </c>
      <c r="K157" s="17" t="s">
        <v>22</v>
      </c>
      <c r="L157" s="18" t="s">
        <v>23</v>
      </c>
    </row>
    <row r="158" spans="1:12" x14ac:dyDescent="0.2">
      <c r="A158" s="61"/>
      <c r="C158" s="20"/>
      <c r="J158" s="19" t="e">
        <f>AVERAGE('Flujos Automatizados Movil'!#REF!,'Flujos Automatizados Movil'!#REF!,'Flujos Automatizados Movil'!#REF!,'Flujos Automatizados Movil'!#REF!)</f>
        <v>#REF!</v>
      </c>
      <c r="K158" s="19" t="e">
        <f>AVERAGE('Flujos Automatizados Movil'!#REF!,'Flujos Automatizados Movil'!#REF!,'Flujos Automatizados Movil'!#REF!,'Flujos Automatizados Movil'!#REF!)</f>
        <v>#REF!</v>
      </c>
      <c r="L158" s="19" t="e">
        <f>AVERAGE('Flujos Automatizados Movil'!#REF!)</f>
        <v>#REF!</v>
      </c>
    </row>
    <row r="159" spans="1:12" x14ac:dyDescent="0.2">
      <c r="A159" s="61"/>
      <c r="C159" s="3"/>
      <c r="D159" s="3"/>
    </row>
    <row r="161" spans="10:12" x14ac:dyDescent="0.2">
      <c r="J161" s="63" t="s">
        <v>55</v>
      </c>
      <c r="K161" s="63"/>
      <c r="L161" s="63"/>
    </row>
    <row r="162" spans="10:12" x14ac:dyDescent="0.2">
      <c r="J162" s="17" t="s">
        <v>21</v>
      </c>
      <c r="K162" s="17" t="s">
        <v>22</v>
      </c>
      <c r="L162" s="18" t="s">
        <v>23</v>
      </c>
    </row>
    <row r="163" spans="10:12" x14ac:dyDescent="0.2">
      <c r="J163" s="19" t="e">
        <f>AVERAGE('Flujos Automatizados Movil'!#REF!,'Flujos Automatizados Movil'!#REF!,'Flujos Automatizados Movil'!#REF!,'Flujos Automatizados Movil'!#REF!)</f>
        <v>#REF!</v>
      </c>
      <c r="K163" s="19" t="e">
        <f>AVERAGE('Flujos Automatizados Movil'!#REF!,'Flujos Automatizados Movil'!#REF!,'Flujos Automatizados Movil'!#REF!,'Flujos Automatizados Movil'!#REF!)</f>
        <v>#REF!</v>
      </c>
      <c r="L163" s="19" t="e">
        <f>AVERAGE('Flujos Automatizados Movil'!#REF!)</f>
        <v>#REF!</v>
      </c>
    </row>
    <row r="165" spans="10:12" x14ac:dyDescent="0.2">
      <c r="J165" s="63" t="s">
        <v>56</v>
      </c>
      <c r="K165" s="63"/>
      <c r="L165" s="63"/>
    </row>
    <row r="166" spans="10:12" x14ac:dyDescent="0.2">
      <c r="J166" s="17" t="s">
        <v>21</v>
      </c>
      <c r="K166" s="17" t="s">
        <v>22</v>
      </c>
      <c r="L166" s="18" t="s">
        <v>23</v>
      </c>
    </row>
    <row r="167" spans="10:12" x14ac:dyDescent="0.2">
      <c r="J167" s="19" t="e">
        <f>AVERAGE('Flujos Automatizados Movil'!#REF!,'Flujos Automatizados Movil'!#REF!,'Flujos Automatizados Movil'!#REF!,'Flujos Automatizados Movil'!#REF!)</f>
        <v>#REF!</v>
      </c>
      <c r="K167" s="19" t="e">
        <f>AVERAGE('Flujos Automatizados Movil'!#REF!,'Flujos Automatizados Movil'!#REF!,'Flujos Automatizados Movil'!#REF!,'Flujos Automatizados Movil'!#REF!)</f>
        <v>#REF!</v>
      </c>
      <c r="L167" s="19" t="e">
        <f>AVERAGE('Flujos Automatizados Movil'!#REF!)</f>
        <v>#REF!</v>
      </c>
    </row>
    <row r="170" spans="10:12" x14ac:dyDescent="0.2">
      <c r="J170" s="63" t="s">
        <v>57</v>
      </c>
      <c r="K170" s="63"/>
      <c r="L170" s="63"/>
    </row>
    <row r="171" spans="10:12" x14ac:dyDescent="0.2">
      <c r="J171" s="17" t="s">
        <v>21</v>
      </c>
      <c r="K171" s="17" t="s">
        <v>22</v>
      </c>
      <c r="L171" s="18" t="s">
        <v>23</v>
      </c>
    </row>
    <row r="172" spans="10:12" x14ac:dyDescent="0.2">
      <c r="J172" s="19" t="e">
        <f>AVERAGE('Flujos Automatizados Movil'!#REF!,'Flujos Automatizados Movil'!#REF!,'Flujos Automatizados Movil'!#REF!)</f>
        <v>#REF!</v>
      </c>
      <c r="K172" s="19" t="e">
        <f>AVERAGE('Flujos Automatizados Movil'!#REF!,'Flujos Automatizados Movil'!#REF!,'Flujos Automatizados Movil'!#REF!,'Flujos Automatizados Movil'!#REF!)</f>
        <v>#REF!</v>
      </c>
      <c r="L172" s="19" t="e">
        <f>AVERAGE('Flujos Automatizados Movil'!#REF!)</f>
        <v>#REF!</v>
      </c>
    </row>
    <row r="174" spans="10:12" x14ac:dyDescent="0.2">
      <c r="J174" s="63" t="s">
        <v>58</v>
      </c>
      <c r="K174" s="63"/>
      <c r="L174" s="63"/>
    </row>
    <row r="175" spans="10:12" x14ac:dyDescent="0.2">
      <c r="J175" s="17" t="s">
        <v>21</v>
      </c>
      <c r="K175" s="17" t="s">
        <v>22</v>
      </c>
      <c r="L175" s="18" t="s">
        <v>23</v>
      </c>
    </row>
    <row r="176" spans="10:12" x14ac:dyDescent="0.2">
      <c r="J176" s="19" t="e">
        <f>AVERAGE('Flujos Automatizados Movil'!#REF!,'Flujos Automatizados Movil'!#REF!,'Flujos Automatizados Movil'!#REF!)</f>
        <v>#REF!</v>
      </c>
      <c r="K176" s="19" t="e">
        <f>AVERAGE('Flujos Automatizados Movil'!#REF!,'Flujos Automatizados Movil'!#REF!,'Flujos Automatizados Movil'!#REF!,'Flujos Automatizados Movil'!#REF!)</f>
        <v>#REF!</v>
      </c>
      <c r="L176" s="19" t="e">
        <f>AVERAGE('Flujos Automatizados Movil'!#REF!)</f>
        <v>#REF!</v>
      </c>
    </row>
    <row r="179" spans="10:12" x14ac:dyDescent="0.2">
      <c r="J179" s="63" t="s">
        <v>59</v>
      </c>
      <c r="K179" s="63"/>
      <c r="L179" s="63"/>
    </row>
    <row r="180" spans="10:12" x14ac:dyDescent="0.2">
      <c r="J180" s="17" t="s">
        <v>21</v>
      </c>
      <c r="K180" s="17" t="s">
        <v>22</v>
      </c>
      <c r="L180" s="18" t="s">
        <v>23</v>
      </c>
    </row>
    <row r="181" spans="10:12" x14ac:dyDescent="0.2">
      <c r="J181" s="19" t="e">
        <f>AVERAGE('Flujos Automatizados Movil'!#REF!,'Flujos Automatizados Movil'!#REF!,'Flujos Automatizados Movil'!#REF!,'Flujos Automatizados Movil'!#REF!,'Flujos Automatizados Movil'!#REF!)</f>
        <v>#REF!</v>
      </c>
      <c r="K181" s="19" t="e">
        <f>AVERAGE('Flujos Automatizados Movil'!#REF!,'Flujos Automatizados Movil'!#REF!,'Flujos Automatizados Movil'!#REF!,'Flujos Automatizados Movil'!#REF!,'Flujos Automatizados Movil'!#REF!)</f>
        <v>#REF!</v>
      </c>
      <c r="L181" s="19" t="e">
        <f>AVERAGE('Flujos Automatizados Movil'!#REF!,'Flujos Automatizados Movil'!#REF!)</f>
        <v>#REF!</v>
      </c>
    </row>
    <row r="183" spans="10:12" x14ac:dyDescent="0.2">
      <c r="J183" s="63" t="s">
        <v>60</v>
      </c>
      <c r="K183" s="63"/>
      <c r="L183" s="63"/>
    </row>
    <row r="184" spans="10:12" x14ac:dyDescent="0.2">
      <c r="J184" s="17" t="s">
        <v>21</v>
      </c>
      <c r="K184" s="17" t="s">
        <v>22</v>
      </c>
      <c r="L184" s="18" t="s">
        <v>23</v>
      </c>
    </row>
    <row r="185" spans="10:12" x14ac:dyDescent="0.2">
      <c r="J185" s="19" t="e">
        <f>AVERAGE('Flujos Automatizados Movil'!#REF!,'Flujos Automatizados Movil'!#REF!,'Flujos Automatizados Movil'!#REF!,'Flujos Automatizados Movil'!#REF!,'Flujos Automatizados Movil'!#REF!)</f>
        <v>#REF!</v>
      </c>
      <c r="K185" s="19" t="e">
        <f>AVERAGE('Flujos Automatizados Movil'!#REF!,'Flujos Automatizados Movil'!#REF!,'Flujos Automatizados Movil'!#REF!,'Flujos Automatizados Movil'!#REF!,'Flujos Automatizados Movil'!#REF!)</f>
        <v>#REF!</v>
      </c>
      <c r="L185" s="19" t="e">
        <f>AVERAGE('Flujos Automatizados Movil'!#REF!,'Flujos Automatizados Movil'!#REF!)</f>
        <v>#REF!</v>
      </c>
    </row>
  </sheetData>
  <mergeCells count="22">
    <mergeCell ref="J179:L179"/>
    <mergeCell ref="J183:L183"/>
    <mergeCell ref="J170:L170"/>
    <mergeCell ref="J174:L174"/>
    <mergeCell ref="J161:L161"/>
    <mergeCell ref="J165:L165"/>
    <mergeCell ref="R1:V1"/>
    <mergeCell ref="J152:L152"/>
    <mergeCell ref="J156:L156"/>
    <mergeCell ref="A2:A6"/>
    <mergeCell ref="J1:L1"/>
    <mergeCell ref="J5:L5"/>
    <mergeCell ref="A48:A52"/>
    <mergeCell ref="J47:L47"/>
    <mergeCell ref="J51:L51"/>
    <mergeCell ref="A158:A159"/>
    <mergeCell ref="A94:A98"/>
    <mergeCell ref="J93:L93"/>
    <mergeCell ref="J97:L97"/>
    <mergeCell ref="J140:L140"/>
    <mergeCell ref="A141:A145"/>
    <mergeCell ref="J144:L144"/>
  </mergeCells>
  <conditionalFormatting sqref="E2:E5">
    <cfRule type="dataBar" priority="130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{07FA8224-27BF-4521-AB79-3A64DBC21118}</x14:id>
        </ext>
      </extLst>
    </cfRule>
  </conditionalFormatting>
  <conditionalFormatting sqref="F2:F5">
    <cfRule type="dataBar" priority="127">
      <dataBar>
        <cfvo type="min"/>
        <cfvo type="num" val="1"/>
        <color theme="9" tint="0.59999389629810485"/>
      </dataBar>
      <extLst>
        <ext xmlns:x14="http://schemas.microsoft.com/office/spreadsheetml/2009/9/main" uri="{B025F937-C7B1-47D3-B67F-A62EFF666E3E}">
          <x14:id>{22624BEB-B66D-45AF-B27F-5584B6F6C04E}</x14:id>
        </ext>
      </extLst>
    </cfRule>
  </conditionalFormatting>
  <conditionalFormatting sqref="G2:G5">
    <cfRule type="dataBar" priority="126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{C59B078A-1EA4-49E3-986C-EE50CEA8ADB8}</x14:id>
        </ext>
      </extLst>
    </cfRule>
  </conditionalFormatting>
  <conditionalFormatting sqref="C2:D2">
    <cfRule type="dataBar" priority="125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{702AD501-89C2-4F27-A660-8D6124709F60}</x14:id>
        </ext>
      </extLst>
    </cfRule>
  </conditionalFormatting>
  <conditionalFormatting sqref="C3:C5">
    <cfRule type="dataBar" priority="124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{9523F34D-E616-4F1C-8A1A-0CABEEF8249D}</x14:id>
        </ext>
      </extLst>
    </cfRule>
  </conditionalFormatting>
  <conditionalFormatting sqref="D3:D5">
    <cfRule type="dataBar" priority="123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{5650F044-C67B-43A7-B3F0-2085A9EACBE2}</x14:id>
        </ext>
      </extLst>
    </cfRule>
  </conditionalFormatting>
  <conditionalFormatting sqref="C6:D6">
    <cfRule type="dataBar" priority="122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{8D5871EE-8638-4DBD-945C-43E7C9A02CCC}</x14:id>
        </ext>
      </extLst>
    </cfRule>
  </conditionalFormatting>
  <conditionalFormatting sqref="E6:G6">
    <cfRule type="dataBar" priority="145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{F008B1BD-9F1C-4B50-8DB1-1C0E37FAD2BC}</x14:id>
        </ext>
      </extLst>
    </cfRule>
  </conditionalFormatting>
  <conditionalFormatting sqref="J3">
    <cfRule type="dataBar" priority="120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{642142FD-4513-452C-9A31-885D20C1BF91}</x14:id>
        </ext>
      </extLst>
    </cfRule>
  </conditionalFormatting>
  <conditionalFormatting sqref="K3">
    <cfRule type="dataBar" priority="119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{55D235EC-C7A6-4F81-89CC-FEBDC5657876}</x14:id>
        </ext>
      </extLst>
    </cfRule>
  </conditionalFormatting>
  <conditionalFormatting sqref="L3">
    <cfRule type="dataBar" priority="118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{8E0542F5-4CF0-4AB1-B8EC-D844C5D90FD0}</x14:id>
        </ext>
      </extLst>
    </cfRule>
  </conditionalFormatting>
  <conditionalFormatting sqref="J7">
    <cfRule type="dataBar" priority="117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{2DFF5971-99D9-41F9-BEF3-CD514EF1D2EA}</x14:id>
        </ext>
      </extLst>
    </cfRule>
  </conditionalFormatting>
  <conditionalFormatting sqref="K7">
    <cfRule type="dataBar" priority="116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{DF5A9530-66EE-4782-A943-24C74188924E}</x14:id>
        </ext>
      </extLst>
    </cfRule>
  </conditionalFormatting>
  <conditionalFormatting sqref="L7">
    <cfRule type="dataBar" priority="115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{607F2CDE-1C4E-43BE-BEC7-E18CCDD12EA5}</x14:id>
        </ext>
      </extLst>
    </cfRule>
  </conditionalFormatting>
  <conditionalFormatting sqref="E48:E51">
    <cfRule type="dataBar" priority="113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{6B14FC4B-61CC-4E96-939B-DE082303BF52}</x14:id>
        </ext>
      </extLst>
    </cfRule>
  </conditionalFormatting>
  <conditionalFormatting sqref="F48:F51">
    <cfRule type="dataBar" priority="111">
      <dataBar>
        <cfvo type="min"/>
        <cfvo type="num" val="1"/>
        <color theme="9" tint="0.59999389629810485"/>
      </dataBar>
      <extLst>
        <ext xmlns:x14="http://schemas.microsoft.com/office/spreadsheetml/2009/9/main" uri="{B025F937-C7B1-47D3-B67F-A62EFF666E3E}">
          <x14:id>{CEDB4DDC-5A97-4E1E-84E3-6EF214269A9D}</x14:id>
        </ext>
      </extLst>
    </cfRule>
  </conditionalFormatting>
  <conditionalFormatting sqref="G48:G51">
    <cfRule type="dataBar" priority="110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{251D4CAF-3409-4293-85F5-9B14C34BE004}</x14:id>
        </ext>
      </extLst>
    </cfRule>
  </conditionalFormatting>
  <conditionalFormatting sqref="C48:D49">
    <cfRule type="dataBar" priority="109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{B609598D-104D-4111-A400-84BAE1B1B42B}</x14:id>
        </ext>
      </extLst>
    </cfRule>
  </conditionalFormatting>
  <conditionalFormatting sqref="C50:C51">
    <cfRule type="dataBar" priority="108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{3EA7A740-B593-45AA-8784-F0EFDF1FAF54}</x14:id>
        </ext>
      </extLst>
    </cfRule>
  </conditionalFormatting>
  <conditionalFormatting sqref="C52:D52">
    <cfRule type="dataBar" priority="106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{BD4C1230-92B4-4758-A042-4B4F44801021}</x14:id>
        </ext>
      </extLst>
    </cfRule>
  </conditionalFormatting>
  <conditionalFormatting sqref="E52:G52">
    <cfRule type="dataBar" priority="114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{8064DBFF-643C-4942-9AB8-AB5AC675C128}</x14:id>
        </ext>
      </extLst>
    </cfRule>
  </conditionalFormatting>
  <conditionalFormatting sqref="D50:D51">
    <cfRule type="dataBar" priority="105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{26BE35D2-FA4D-4B60-A8BC-805A5E437148}</x14:id>
        </ext>
      </extLst>
    </cfRule>
  </conditionalFormatting>
  <conditionalFormatting sqref="J49">
    <cfRule type="dataBar" priority="104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{BC896D3A-0258-4B55-8E27-1EACD7BCED9B}</x14:id>
        </ext>
      </extLst>
    </cfRule>
  </conditionalFormatting>
  <conditionalFormatting sqref="K49">
    <cfRule type="dataBar" priority="103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{424CF314-941A-4000-A68E-0E7B99590C42}</x14:id>
        </ext>
      </extLst>
    </cfRule>
  </conditionalFormatting>
  <conditionalFormatting sqref="L49">
    <cfRule type="dataBar" priority="102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{E2D392B9-6443-4773-AD86-F0E4956492AA}</x14:id>
        </ext>
      </extLst>
    </cfRule>
  </conditionalFormatting>
  <conditionalFormatting sqref="J53">
    <cfRule type="dataBar" priority="95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{3AF35E8B-A9D2-4066-80E4-CA8F9D4C4A45}</x14:id>
        </ext>
      </extLst>
    </cfRule>
  </conditionalFormatting>
  <conditionalFormatting sqref="K53">
    <cfRule type="dataBar" priority="94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{CBC8111A-D651-41AC-8056-8ED9DBF05655}</x14:id>
        </ext>
      </extLst>
    </cfRule>
  </conditionalFormatting>
  <conditionalFormatting sqref="L53">
    <cfRule type="dataBar" priority="93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{4DEDC732-63E3-465B-83C9-B6B142076F33}</x14:id>
        </ext>
      </extLst>
    </cfRule>
  </conditionalFormatting>
  <conditionalFormatting sqref="E94:E97">
    <cfRule type="dataBar" priority="91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{5C8F8B70-7295-4136-A818-B49FCF78BE85}</x14:id>
        </ext>
      </extLst>
    </cfRule>
  </conditionalFormatting>
  <conditionalFormatting sqref="F96:F97">
    <cfRule type="dataBar" priority="90">
      <dataBar>
        <cfvo type="min"/>
        <cfvo type="num" val="1"/>
        <color theme="9" tint="0.59999389629810485"/>
      </dataBar>
      <extLst>
        <ext xmlns:x14="http://schemas.microsoft.com/office/spreadsheetml/2009/9/main" uri="{B025F937-C7B1-47D3-B67F-A62EFF666E3E}">
          <x14:id>{B85FCFFB-5BC6-48F2-BA39-C716C7A7D59A}</x14:id>
        </ext>
      </extLst>
    </cfRule>
  </conditionalFormatting>
  <conditionalFormatting sqref="G94:G97">
    <cfRule type="dataBar" priority="89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{A522A3E8-C064-4D0E-896D-2594A770C284}</x14:id>
        </ext>
      </extLst>
    </cfRule>
  </conditionalFormatting>
  <conditionalFormatting sqref="C94:D95">
    <cfRule type="dataBar" priority="88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{77C56F94-E8AC-4719-9462-60603D631314}</x14:id>
        </ext>
      </extLst>
    </cfRule>
  </conditionalFormatting>
  <conditionalFormatting sqref="D98">
    <cfRule type="dataBar" priority="86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{DE53E41C-72D7-4950-BD4C-883C78246E99}</x14:id>
        </ext>
      </extLst>
    </cfRule>
  </conditionalFormatting>
  <conditionalFormatting sqref="E98:G98">
    <cfRule type="dataBar" priority="92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{5C2C1600-5858-4FD0-9CAB-1389AAC57D42}</x14:id>
        </ext>
      </extLst>
    </cfRule>
  </conditionalFormatting>
  <conditionalFormatting sqref="C96">
    <cfRule type="dataBar" priority="84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{B21AC1D9-4835-46EC-A13B-D39766FE169A}</x14:id>
        </ext>
      </extLst>
    </cfRule>
  </conditionalFormatting>
  <conditionalFormatting sqref="C97">
    <cfRule type="dataBar" priority="83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{A09E35A3-24D6-46C0-B83A-2EB17E3FA480}</x14:id>
        </ext>
      </extLst>
    </cfRule>
  </conditionalFormatting>
  <conditionalFormatting sqref="D96">
    <cfRule type="dataBar" priority="81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{A627040C-5D10-4A0F-965D-C20BEC121581}</x14:id>
        </ext>
      </extLst>
    </cfRule>
  </conditionalFormatting>
  <conditionalFormatting sqref="D97">
    <cfRule type="dataBar" priority="80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{B52F04BB-9C11-451E-AAE5-68BFCAA0CDF8}</x14:id>
        </ext>
      </extLst>
    </cfRule>
  </conditionalFormatting>
  <conditionalFormatting sqref="F94">
    <cfRule type="dataBar" priority="79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{9C0F13A0-6114-430C-B16F-8D643A9ECE67}</x14:id>
        </ext>
      </extLst>
    </cfRule>
  </conditionalFormatting>
  <conditionalFormatting sqref="F95">
    <cfRule type="dataBar" priority="78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{1D7B375F-729B-4143-A451-1B138871F0D2}</x14:id>
        </ext>
      </extLst>
    </cfRule>
  </conditionalFormatting>
  <conditionalFormatting sqref="J95">
    <cfRule type="dataBar" priority="77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{D1CFC072-1096-4363-A0CD-84A4A09DEDF3}</x14:id>
        </ext>
      </extLst>
    </cfRule>
  </conditionalFormatting>
  <conditionalFormatting sqref="K95">
    <cfRule type="dataBar" priority="71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{01290FBD-1AD5-4C12-9A5A-CAEC94B3EE16}</x14:id>
        </ext>
      </extLst>
    </cfRule>
  </conditionalFormatting>
  <conditionalFormatting sqref="L95">
    <cfRule type="dataBar" priority="70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{B14711B3-1C70-4C7B-AD48-B36EFDC56DF8}</x14:id>
        </ext>
      </extLst>
    </cfRule>
  </conditionalFormatting>
  <conditionalFormatting sqref="K99">
    <cfRule type="dataBar" priority="65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{0474994F-B0E1-4887-81BB-264FF858620B}</x14:id>
        </ext>
      </extLst>
    </cfRule>
  </conditionalFormatting>
  <conditionalFormatting sqref="L99">
    <cfRule type="dataBar" priority="64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{9A65C44E-609E-4D57-99EE-2D87B8143D95}</x14:id>
        </ext>
      </extLst>
    </cfRule>
  </conditionalFormatting>
  <conditionalFormatting sqref="J99">
    <cfRule type="dataBar" priority="63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{CE34B10E-5235-434F-A3AD-182F7200110D}</x14:id>
        </ext>
      </extLst>
    </cfRule>
  </conditionalFormatting>
  <conditionalFormatting sqref="C98">
    <cfRule type="dataBar" priority="62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{469D7DD5-EF82-4205-8E50-0B8979538EB1}</x14:id>
        </ext>
      </extLst>
    </cfRule>
  </conditionalFormatting>
  <conditionalFormatting sqref="V3">
    <cfRule type="dataBar" priority="61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{F660B44D-5C96-44AC-93A7-AB530EE65049}</x14:id>
        </ext>
      </extLst>
    </cfRule>
  </conditionalFormatting>
  <conditionalFormatting sqref="V4">
    <cfRule type="dataBar" priority="60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{495D821C-E042-429C-884B-52A63B1153B8}</x14:id>
        </ext>
      </extLst>
    </cfRule>
  </conditionalFormatting>
  <conditionalFormatting sqref="V5">
    <cfRule type="dataBar" priority="59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{047FEA9F-3B21-43E3-933A-5E7DEC33BE94}</x14:id>
        </ext>
      </extLst>
    </cfRule>
  </conditionalFormatting>
  <conditionalFormatting sqref="T3:U3">
    <cfRule type="dataBar" priority="58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{FAC2D7D0-B0D0-4C1A-82C8-00C08EFE347C}</x14:id>
        </ext>
      </extLst>
    </cfRule>
  </conditionalFormatting>
  <conditionalFormatting sqref="T4:U4">
    <cfRule type="dataBar" priority="57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{23B566C8-C2A8-4B53-90ED-2E60E02AF426}</x14:id>
        </ext>
      </extLst>
    </cfRule>
  </conditionalFormatting>
  <conditionalFormatting sqref="T5:U5">
    <cfRule type="dataBar" priority="56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{8A87C6FB-F41D-4762-AA88-C7DBDBF7D35D}</x14:id>
        </ext>
      </extLst>
    </cfRule>
  </conditionalFormatting>
  <conditionalFormatting sqref="E141:E144">
    <cfRule type="dataBar" priority="54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{F3F71D1D-B203-4327-946E-0BDFD8AABA00}</x14:id>
        </ext>
      </extLst>
    </cfRule>
  </conditionalFormatting>
  <conditionalFormatting sqref="F143:F144">
    <cfRule type="dataBar" priority="53">
      <dataBar>
        <cfvo type="min"/>
        <cfvo type="num" val="1"/>
        <color theme="9" tint="0.59999389629810485"/>
      </dataBar>
      <extLst>
        <ext xmlns:x14="http://schemas.microsoft.com/office/spreadsheetml/2009/9/main" uri="{B025F937-C7B1-47D3-B67F-A62EFF666E3E}">
          <x14:id>{857C1D93-25C9-42EA-97D4-83475FBDB937}</x14:id>
        </ext>
      </extLst>
    </cfRule>
  </conditionalFormatting>
  <conditionalFormatting sqref="G141:G144">
    <cfRule type="dataBar" priority="52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{C2EB694A-E0DF-42EC-8387-40FB506FA917}</x14:id>
        </ext>
      </extLst>
    </cfRule>
  </conditionalFormatting>
  <conditionalFormatting sqref="C141:D144">
    <cfRule type="dataBar" priority="51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{E52C1500-57C6-4728-8D6B-3AEBB3987DC3}</x14:id>
        </ext>
      </extLst>
    </cfRule>
  </conditionalFormatting>
  <conditionalFormatting sqref="D145">
    <cfRule type="dataBar" priority="50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{CA0C5AE2-8D17-4E66-A039-5134D1F445E6}</x14:id>
        </ext>
      </extLst>
    </cfRule>
  </conditionalFormatting>
  <conditionalFormatting sqref="E145:G145">
    <cfRule type="dataBar" priority="55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{07906B51-6999-4A5D-A12D-D1D35669FA77}</x14:id>
        </ext>
      </extLst>
    </cfRule>
  </conditionalFormatting>
  <conditionalFormatting sqref="F141:F142">
    <cfRule type="dataBar" priority="45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{BECF245C-C88A-4BA7-8CFF-8C60FAA45517}</x14:id>
        </ext>
      </extLst>
    </cfRule>
  </conditionalFormatting>
  <conditionalFormatting sqref="J142">
    <cfRule type="dataBar" priority="43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{88841BBF-FFFE-46F8-91D4-36EF25C26816}</x14:id>
        </ext>
      </extLst>
    </cfRule>
  </conditionalFormatting>
  <conditionalFormatting sqref="K142">
    <cfRule type="dataBar" priority="42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{A75618EE-63E3-4827-AAD2-73029CA2E197}</x14:id>
        </ext>
      </extLst>
    </cfRule>
  </conditionalFormatting>
  <conditionalFormatting sqref="L142">
    <cfRule type="dataBar" priority="41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{78B7AB7E-B76C-4583-9861-2C2FDC25664C}</x14:id>
        </ext>
      </extLst>
    </cfRule>
  </conditionalFormatting>
  <conditionalFormatting sqref="K146">
    <cfRule type="dataBar" priority="40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{31533412-9126-488E-A5FE-55E3A8A10B69}</x14:id>
        </ext>
      </extLst>
    </cfRule>
  </conditionalFormatting>
  <conditionalFormatting sqref="L146">
    <cfRule type="dataBar" priority="39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{A5CA0FB9-6E53-42F6-B2DA-9FB6087B97AD}</x14:id>
        </ext>
      </extLst>
    </cfRule>
  </conditionalFormatting>
  <conditionalFormatting sqref="J146">
    <cfRule type="dataBar" priority="38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{ECE1F1D5-AA6C-445B-B98F-372C6EAE7C4E}</x14:id>
        </ext>
      </extLst>
    </cfRule>
  </conditionalFormatting>
  <conditionalFormatting sqref="C145">
    <cfRule type="dataBar" priority="37">
      <dataBar>
        <cfvo type="min"/>
        <cfvo type="num" val="1"/>
        <color theme="3" tint="0.59999389629810485"/>
      </dataBar>
      <extLst>
        <ext xmlns:x14="http://schemas.microsoft.com/office/spreadsheetml/2009/9/main" uri="{B025F937-C7B1-47D3-B67F-A62EFF666E3E}">
          <x14:id>{4D9F77A8-2D88-4039-8F33-9DCAB9F94D99}</x14:id>
        </ext>
      </extLst>
    </cfRule>
  </conditionalFormatting>
  <conditionalFormatting sqref="S3">
    <cfRule type="dataBar" priority="36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{8E831FDF-96B9-435C-B34C-27D0EEB46639}</x14:id>
        </ext>
      </extLst>
    </cfRule>
  </conditionalFormatting>
  <conditionalFormatting sqref="S4">
    <cfRule type="dataBar" priority="35">
      <dataBar>
        <cfvo type="min"/>
        <cfvo type="num" val="1"/>
        <color theme="5" tint="0.59999389629810485"/>
      </dataBar>
      <extLst>
        <ext xmlns:x14="http://schemas.microsoft.com/office/spreadsheetml/2009/9/main" uri="{B025F937-C7B1-47D3-B67F-A62EFF666E3E}">
          <x14:id>{8C9F424F-124A-49A6-8BA9-4E6BDE46F9A3}</x14:id>
        </ext>
      </extLst>
    </cfRule>
  </conditionalFormatting>
  <conditionalFormatting sqref="S5">
    <cfRule type="dataBar" priority="34">
      <dataBar>
        <cfvo type="min"/>
        <cfvo type="num" val="1"/>
        <color theme="4" tint="0.59999389629810485"/>
      </dataBar>
      <extLst>
        <ext xmlns:x14="http://schemas.microsoft.com/office/spreadsheetml/2009/9/main" uri="{B025F937-C7B1-47D3-B67F-A62EFF666E3E}">
          <x14:id>{9FEAE7E4-6201-46F2-A18F-A96D9C36552E}</x14:id>
        </ext>
      </extLst>
    </cfRule>
  </conditionalFormatting>
  <conditionalFormatting sqref="AD3:AE5">
    <cfRule type="dataBar" priority="33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{C6E4FC54-4384-634B-A57E-374732582EE9}</x14:id>
        </ext>
      </extLst>
    </cfRule>
  </conditionalFormatting>
  <conditionalFormatting sqref="AA3:AC5">
    <cfRule type="dataBar" priority="30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{340D5164-33E3-0544-887E-3DF01BFB7BF1}</x14:id>
        </ext>
      </extLst>
    </cfRule>
  </conditionalFormatting>
  <conditionalFormatting sqref="J154">
    <cfRule type="dataBar" priority="24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{3109E266-146B-9D44-8D20-E71755262DF3}</x14:id>
        </ext>
      </extLst>
    </cfRule>
  </conditionalFormatting>
  <conditionalFormatting sqref="K154">
    <cfRule type="dataBar" priority="23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{F4B80892-398F-CC4F-B55D-BCF400A91C0C}</x14:id>
        </ext>
      </extLst>
    </cfRule>
  </conditionalFormatting>
  <conditionalFormatting sqref="L154">
    <cfRule type="dataBar" priority="22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{46EC0C3D-546B-D94F-B4EB-9DC237291682}</x14:id>
        </ext>
      </extLst>
    </cfRule>
  </conditionalFormatting>
  <conditionalFormatting sqref="K158">
    <cfRule type="dataBar" priority="21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{621B12F6-D95F-7D4D-9A09-00D54C340ED1}</x14:id>
        </ext>
      </extLst>
    </cfRule>
  </conditionalFormatting>
  <conditionalFormatting sqref="L158">
    <cfRule type="dataBar" priority="20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{F12ABE15-9B67-F040-A351-9F218988DFB7}</x14:id>
        </ext>
      </extLst>
    </cfRule>
  </conditionalFormatting>
  <conditionalFormatting sqref="J158">
    <cfRule type="dataBar" priority="19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{2888638F-5B08-7743-A848-C947A93364E0}</x14:id>
        </ext>
      </extLst>
    </cfRule>
  </conditionalFormatting>
  <conditionalFormatting sqref="J163">
    <cfRule type="dataBar" priority="18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{E87BEE4E-BE95-4808-A538-A25A5B5459D7}</x14:id>
        </ext>
      </extLst>
    </cfRule>
  </conditionalFormatting>
  <conditionalFormatting sqref="K163">
    <cfRule type="dataBar" priority="17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{8CCC05AF-81C3-4CCE-8F4B-DF365569F2C3}</x14:id>
        </ext>
      </extLst>
    </cfRule>
  </conditionalFormatting>
  <conditionalFormatting sqref="L163">
    <cfRule type="dataBar" priority="16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{0859B817-CC7A-431F-BDB5-DE56AF260C06}</x14:id>
        </ext>
      </extLst>
    </cfRule>
  </conditionalFormatting>
  <conditionalFormatting sqref="K167">
    <cfRule type="dataBar" priority="15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{075FC229-21A4-4059-8FED-8167FB6F99FE}</x14:id>
        </ext>
      </extLst>
    </cfRule>
  </conditionalFormatting>
  <conditionalFormatting sqref="L167">
    <cfRule type="dataBar" priority="14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{62517FFD-CFA1-476A-96B7-B28E9DEBE9F6}</x14:id>
        </ext>
      </extLst>
    </cfRule>
  </conditionalFormatting>
  <conditionalFormatting sqref="J167">
    <cfRule type="dataBar" priority="13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{1FFBBCBF-74EA-40DF-AD7E-C9E067CF3083}</x14:id>
        </ext>
      </extLst>
    </cfRule>
  </conditionalFormatting>
  <conditionalFormatting sqref="J172">
    <cfRule type="dataBar" priority="12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{358AE11D-DFF2-4A43-B67B-D35AA0610977}</x14:id>
        </ext>
      </extLst>
    </cfRule>
  </conditionalFormatting>
  <conditionalFormatting sqref="K172">
    <cfRule type="dataBar" priority="11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{C0C0CC0E-CFC0-4D84-96C4-6ACBCCE2EF13}</x14:id>
        </ext>
      </extLst>
    </cfRule>
  </conditionalFormatting>
  <conditionalFormatting sqref="L172">
    <cfRule type="dataBar" priority="10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{899756D6-D7A4-4D32-B465-E29C529A44AE}</x14:id>
        </ext>
      </extLst>
    </cfRule>
  </conditionalFormatting>
  <conditionalFormatting sqref="K176">
    <cfRule type="dataBar" priority="9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{DD5B9736-974B-458A-80F9-375D073A788E}</x14:id>
        </ext>
      </extLst>
    </cfRule>
  </conditionalFormatting>
  <conditionalFormatting sqref="L176">
    <cfRule type="dataBar" priority="8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{5AD28D8C-3268-438A-88A5-60212B2ABD06}</x14:id>
        </ext>
      </extLst>
    </cfRule>
  </conditionalFormatting>
  <conditionalFormatting sqref="J176">
    <cfRule type="dataBar" priority="7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{9AD4EE39-3FFA-446B-B695-F2892FFE0747}</x14:id>
        </ext>
      </extLst>
    </cfRule>
  </conditionalFormatting>
  <conditionalFormatting sqref="J181">
    <cfRule type="dataBar" priority="6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{5633C64C-882D-4B7A-9782-65CB9C338899}</x14:id>
        </ext>
      </extLst>
    </cfRule>
  </conditionalFormatting>
  <conditionalFormatting sqref="K181">
    <cfRule type="dataBar" priority="5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{CFD906C5-AB42-49B3-99D6-F09D59406D7F}</x14:id>
        </ext>
      </extLst>
    </cfRule>
  </conditionalFormatting>
  <conditionalFormatting sqref="L181">
    <cfRule type="dataBar" priority="4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{F76EDA19-80AD-4DA6-8999-CD8BB279B9C7}</x14:id>
        </ext>
      </extLst>
    </cfRule>
  </conditionalFormatting>
  <conditionalFormatting sqref="K185">
    <cfRule type="dataBar" priority="3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{E60F736A-AA98-4500-8337-5CED2E614E84}</x14:id>
        </ext>
      </extLst>
    </cfRule>
  </conditionalFormatting>
  <conditionalFormatting sqref="L185">
    <cfRule type="dataBar" priority="2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{C171AA19-86FB-4B34-9D00-A531874B47D0}</x14:id>
        </ext>
      </extLst>
    </cfRule>
  </conditionalFormatting>
  <conditionalFormatting sqref="J185">
    <cfRule type="dataBar" priority="1">
      <dataBar>
        <cfvo type="min"/>
        <cfvo type="num" val="1"/>
        <color theme="6" tint="0.59999389629810485"/>
      </dataBar>
      <extLst>
        <ext xmlns:x14="http://schemas.microsoft.com/office/spreadsheetml/2009/9/main" uri="{B025F937-C7B1-47D3-B67F-A62EFF666E3E}">
          <x14:id>{9A57377A-CA7C-4521-8881-B6A22CC26EFF}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FA8224-27BF-4521-AB79-3A64DBC2111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E2:E5</xm:sqref>
        </x14:conditionalFormatting>
        <x14:conditionalFormatting xmlns:xm="http://schemas.microsoft.com/office/excel/2006/main">
          <x14:cfRule type="dataBar" id="{22624BEB-B66D-45AF-B27F-5584B6F6C04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F2:F5</xm:sqref>
        </x14:conditionalFormatting>
        <x14:conditionalFormatting xmlns:xm="http://schemas.microsoft.com/office/excel/2006/main">
          <x14:cfRule type="dataBar" id="{C59B078A-1EA4-49E3-986C-EE50CEA8ADB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G2:G5</xm:sqref>
        </x14:conditionalFormatting>
        <x14:conditionalFormatting xmlns:xm="http://schemas.microsoft.com/office/excel/2006/main">
          <x14:cfRule type="dataBar" id="{702AD501-89C2-4F27-A660-8D6124709F6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C2:D2</xm:sqref>
        </x14:conditionalFormatting>
        <x14:conditionalFormatting xmlns:xm="http://schemas.microsoft.com/office/excel/2006/main">
          <x14:cfRule type="dataBar" id="{9523F34D-E616-4F1C-8A1A-0CABEEF8249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C3:C5</xm:sqref>
        </x14:conditionalFormatting>
        <x14:conditionalFormatting xmlns:xm="http://schemas.microsoft.com/office/excel/2006/main">
          <x14:cfRule type="dataBar" id="{5650F044-C67B-43A7-B3F0-2085A9EACBE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D3:D5</xm:sqref>
        </x14:conditionalFormatting>
        <x14:conditionalFormatting xmlns:xm="http://schemas.microsoft.com/office/excel/2006/main">
          <x14:cfRule type="dataBar" id="{8D5871EE-8638-4DBD-945C-43E7C9A02CCC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C6:D6</xm:sqref>
        </x14:conditionalFormatting>
        <x14:conditionalFormatting xmlns:xm="http://schemas.microsoft.com/office/excel/2006/main">
          <x14:cfRule type="dataBar" id="{F008B1BD-9F1C-4B50-8DB1-1C0E37FAD2BC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E6:G6</xm:sqref>
        </x14:conditionalFormatting>
        <x14:conditionalFormatting xmlns:xm="http://schemas.microsoft.com/office/excel/2006/main">
          <x14:cfRule type="dataBar" id="{642142FD-4513-452C-9A31-885D20C1BF9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55D235EC-C7A6-4F81-89CC-FEBDC565787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K3</xm:sqref>
        </x14:conditionalFormatting>
        <x14:conditionalFormatting xmlns:xm="http://schemas.microsoft.com/office/excel/2006/main">
          <x14:cfRule type="dataBar" id="{8E0542F5-4CF0-4AB1-B8EC-D844C5D90FD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L3</xm:sqref>
        </x14:conditionalFormatting>
        <x14:conditionalFormatting xmlns:xm="http://schemas.microsoft.com/office/excel/2006/main">
          <x14:cfRule type="dataBar" id="{2DFF5971-99D9-41F9-BEF3-CD514EF1D2EA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J7</xm:sqref>
        </x14:conditionalFormatting>
        <x14:conditionalFormatting xmlns:xm="http://schemas.microsoft.com/office/excel/2006/main">
          <x14:cfRule type="dataBar" id="{DF5A9530-66EE-4782-A943-24C74188924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K7</xm:sqref>
        </x14:conditionalFormatting>
        <x14:conditionalFormatting xmlns:xm="http://schemas.microsoft.com/office/excel/2006/main">
          <x14:cfRule type="dataBar" id="{607F2CDE-1C4E-43BE-BEC7-E18CCDD12EA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B14FC4B-61CC-4E96-939B-DE082303BF5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E48:E51</xm:sqref>
        </x14:conditionalFormatting>
        <x14:conditionalFormatting xmlns:xm="http://schemas.microsoft.com/office/excel/2006/main">
          <x14:cfRule type="dataBar" id="{CEDB4DDC-5A97-4E1E-84E3-6EF214269A9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F48:F51</xm:sqref>
        </x14:conditionalFormatting>
        <x14:conditionalFormatting xmlns:xm="http://schemas.microsoft.com/office/excel/2006/main">
          <x14:cfRule type="dataBar" id="{251D4CAF-3409-4293-85F5-9B14C34BE00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G48:G51</xm:sqref>
        </x14:conditionalFormatting>
        <x14:conditionalFormatting xmlns:xm="http://schemas.microsoft.com/office/excel/2006/main">
          <x14:cfRule type="dataBar" id="{B609598D-104D-4111-A400-84BAE1B1B42B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C48:D49</xm:sqref>
        </x14:conditionalFormatting>
        <x14:conditionalFormatting xmlns:xm="http://schemas.microsoft.com/office/excel/2006/main">
          <x14:cfRule type="dataBar" id="{3EA7A740-B593-45AA-8784-F0EFDF1FAF5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C50:C51</xm:sqref>
        </x14:conditionalFormatting>
        <x14:conditionalFormatting xmlns:xm="http://schemas.microsoft.com/office/excel/2006/main">
          <x14:cfRule type="dataBar" id="{BD4C1230-92B4-4758-A042-4B4F4480102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C52:D52</xm:sqref>
        </x14:conditionalFormatting>
        <x14:conditionalFormatting xmlns:xm="http://schemas.microsoft.com/office/excel/2006/main">
          <x14:cfRule type="dataBar" id="{8064DBFF-643C-4942-9AB8-AB5AC675C12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E52:G52</xm:sqref>
        </x14:conditionalFormatting>
        <x14:conditionalFormatting xmlns:xm="http://schemas.microsoft.com/office/excel/2006/main">
          <x14:cfRule type="dataBar" id="{26BE35D2-FA4D-4B60-A8BC-805A5E43714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D50:D51</xm:sqref>
        </x14:conditionalFormatting>
        <x14:conditionalFormatting xmlns:xm="http://schemas.microsoft.com/office/excel/2006/main">
          <x14:cfRule type="dataBar" id="{BC896D3A-0258-4B55-8E27-1EACD7BCED9B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J49</xm:sqref>
        </x14:conditionalFormatting>
        <x14:conditionalFormatting xmlns:xm="http://schemas.microsoft.com/office/excel/2006/main">
          <x14:cfRule type="dataBar" id="{424CF314-941A-4000-A68E-0E7B99590C4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K49</xm:sqref>
        </x14:conditionalFormatting>
        <x14:conditionalFormatting xmlns:xm="http://schemas.microsoft.com/office/excel/2006/main">
          <x14:cfRule type="dataBar" id="{E2D392B9-6443-4773-AD86-F0E4956492AA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L49</xm:sqref>
        </x14:conditionalFormatting>
        <x14:conditionalFormatting xmlns:xm="http://schemas.microsoft.com/office/excel/2006/main">
          <x14:cfRule type="dataBar" id="{3AF35E8B-A9D2-4066-80E4-CA8F9D4C4A4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J53</xm:sqref>
        </x14:conditionalFormatting>
        <x14:conditionalFormatting xmlns:xm="http://schemas.microsoft.com/office/excel/2006/main">
          <x14:cfRule type="dataBar" id="{CBC8111A-D651-41AC-8056-8ED9DBF0565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K53</xm:sqref>
        </x14:conditionalFormatting>
        <x14:conditionalFormatting xmlns:xm="http://schemas.microsoft.com/office/excel/2006/main">
          <x14:cfRule type="dataBar" id="{4DEDC732-63E3-465B-83C9-B6B142076F3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L53</xm:sqref>
        </x14:conditionalFormatting>
        <x14:conditionalFormatting xmlns:xm="http://schemas.microsoft.com/office/excel/2006/main">
          <x14:cfRule type="dataBar" id="{5C8F8B70-7295-4136-A818-B49FCF78BE8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E94:E97</xm:sqref>
        </x14:conditionalFormatting>
        <x14:conditionalFormatting xmlns:xm="http://schemas.microsoft.com/office/excel/2006/main">
          <x14:cfRule type="dataBar" id="{B85FCFFB-5BC6-48F2-BA39-C716C7A7D59A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F96:F97</xm:sqref>
        </x14:conditionalFormatting>
        <x14:conditionalFormatting xmlns:xm="http://schemas.microsoft.com/office/excel/2006/main">
          <x14:cfRule type="dataBar" id="{A522A3E8-C064-4D0E-896D-2594A770C28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G94:G97</xm:sqref>
        </x14:conditionalFormatting>
        <x14:conditionalFormatting xmlns:xm="http://schemas.microsoft.com/office/excel/2006/main">
          <x14:cfRule type="dataBar" id="{77C56F94-E8AC-4719-9462-60603D63131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C94:D95</xm:sqref>
        </x14:conditionalFormatting>
        <x14:conditionalFormatting xmlns:xm="http://schemas.microsoft.com/office/excel/2006/main">
          <x14:cfRule type="dataBar" id="{DE53E41C-72D7-4950-BD4C-883C78246E9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D98</xm:sqref>
        </x14:conditionalFormatting>
        <x14:conditionalFormatting xmlns:xm="http://schemas.microsoft.com/office/excel/2006/main">
          <x14:cfRule type="dataBar" id="{5C2C1600-5858-4FD0-9CAB-1389AAC57D4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E98:G98</xm:sqref>
        </x14:conditionalFormatting>
        <x14:conditionalFormatting xmlns:xm="http://schemas.microsoft.com/office/excel/2006/main">
          <x14:cfRule type="dataBar" id="{B21AC1D9-4835-46EC-A13B-D39766FE169A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C96</xm:sqref>
        </x14:conditionalFormatting>
        <x14:conditionalFormatting xmlns:xm="http://schemas.microsoft.com/office/excel/2006/main">
          <x14:cfRule type="dataBar" id="{A09E35A3-24D6-46C0-B83A-2EB17E3FA48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C97</xm:sqref>
        </x14:conditionalFormatting>
        <x14:conditionalFormatting xmlns:xm="http://schemas.microsoft.com/office/excel/2006/main">
          <x14:cfRule type="dataBar" id="{A627040C-5D10-4A0F-965D-C20BEC12158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D96</xm:sqref>
        </x14:conditionalFormatting>
        <x14:conditionalFormatting xmlns:xm="http://schemas.microsoft.com/office/excel/2006/main">
          <x14:cfRule type="dataBar" id="{B52F04BB-9C11-451E-AAE5-68BFCAA0CDF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D97</xm:sqref>
        </x14:conditionalFormatting>
        <x14:conditionalFormatting xmlns:xm="http://schemas.microsoft.com/office/excel/2006/main">
          <x14:cfRule type="dataBar" id="{9C0F13A0-6114-430C-B16F-8D643A9ECE6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F94</xm:sqref>
        </x14:conditionalFormatting>
        <x14:conditionalFormatting xmlns:xm="http://schemas.microsoft.com/office/excel/2006/main">
          <x14:cfRule type="dataBar" id="{1D7B375F-729B-4143-A451-1B138871F0D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F95</xm:sqref>
        </x14:conditionalFormatting>
        <x14:conditionalFormatting xmlns:xm="http://schemas.microsoft.com/office/excel/2006/main">
          <x14:cfRule type="dataBar" id="{D1CFC072-1096-4363-A0CD-84A4A09DEDF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J95</xm:sqref>
        </x14:conditionalFormatting>
        <x14:conditionalFormatting xmlns:xm="http://schemas.microsoft.com/office/excel/2006/main">
          <x14:cfRule type="dataBar" id="{01290FBD-1AD5-4C12-9A5A-CAEC94B3EE1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K95</xm:sqref>
        </x14:conditionalFormatting>
        <x14:conditionalFormatting xmlns:xm="http://schemas.microsoft.com/office/excel/2006/main">
          <x14:cfRule type="dataBar" id="{B14711B3-1C70-4C7B-AD48-B36EFDC56DF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L95</xm:sqref>
        </x14:conditionalFormatting>
        <x14:conditionalFormatting xmlns:xm="http://schemas.microsoft.com/office/excel/2006/main">
          <x14:cfRule type="dataBar" id="{0474994F-B0E1-4887-81BB-264FF858620B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K99</xm:sqref>
        </x14:conditionalFormatting>
        <x14:conditionalFormatting xmlns:xm="http://schemas.microsoft.com/office/excel/2006/main">
          <x14:cfRule type="dataBar" id="{9A65C44E-609E-4D57-99EE-2D87B8143D95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L99</xm:sqref>
        </x14:conditionalFormatting>
        <x14:conditionalFormatting xmlns:xm="http://schemas.microsoft.com/office/excel/2006/main">
          <x14:cfRule type="dataBar" id="{CE34B10E-5235-434F-A3AD-182F7200110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J99</xm:sqref>
        </x14:conditionalFormatting>
        <x14:conditionalFormatting xmlns:xm="http://schemas.microsoft.com/office/excel/2006/main">
          <x14:cfRule type="dataBar" id="{469D7DD5-EF82-4205-8E50-0B8979538EB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C98</xm:sqref>
        </x14:conditionalFormatting>
        <x14:conditionalFormatting xmlns:xm="http://schemas.microsoft.com/office/excel/2006/main">
          <x14:cfRule type="dataBar" id="{F660B44D-5C96-44AC-93A7-AB530EE6504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V3</xm:sqref>
        </x14:conditionalFormatting>
        <x14:conditionalFormatting xmlns:xm="http://schemas.microsoft.com/office/excel/2006/main">
          <x14:cfRule type="dataBar" id="{495D821C-E042-429C-884B-52A63B1153B8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V4</xm:sqref>
        </x14:conditionalFormatting>
        <x14:conditionalFormatting xmlns:xm="http://schemas.microsoft.com/office/excel/2006/main">
          <x14:cfRule type="dataBar" id="{047FEA9F-3B21-43E3-933A-5E7DEC33BE9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V5</xm:sqref>
        </x14:conditionalFormatting>
        <x14:conditionalFormatting xmlns:xm="http://schemas.microsoft.com/office/excel/2006/main">
          <x14:cfRule type="dataBar" id="{FAC2D7D0-B0D0-4C1A-82C8-00C08EFE347C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T3:U3</xm:sqref>
        </x14:conditionalFormatting>
        <x14:conditionalFormatting xmlns:xm="http://schemas.microsoft.com/office/excel/2006/main">
          <x14:cfRule type="dataBar" id="{23B566C8-C2A8-4B53-90ED-2E60E02AF42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T4:U4</xm:sqref>
        </x14:conditionalFormatting>
        <x14:conditionalFormatting xmlns:xm="http://schemas.microsoft.com/office/excel/2006/main">
          <x14:cfRule type="dataBar" id="{8A87C6FB-F41D-4762-AA88-C7DBDBF7D35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T5:U5</xm:sqref>
        </x14:conditionalFormatting>
        <x14:conditionalFormatting xmlns:xm="http://schemas.microsoft.com/office/excel/2006/main">
          <x14:cfRule type="dataBar" id="{F3F71D1D-B203-4327-946E-0BDFD8AABA0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E141:E144</xm:sqref>
        </x14:conditionalFormatting>
        <x14:conditionalFormatting xmlns:xm="http://schemas.microsoft.com/office/excel/2006/main">
          <x14:cfRule type="dataBar" id="{857C1D93-25C9-42EA-97D4-83475FBDB93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F143:F144</xm:sqref>
        </x14:conditionalFormatting>
        <x14:conditionalFormatting xmlns:xm="http://schemas.microsoft.com/office/excel/2006/main">
          <x14:cfRule type="dataBar" id="{C2EB694A-E0DF-42EC-8387-40FB506FA91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G141:G144</xm:sqref>
        </x14:conditionalFormatting>
        <x14:conditionalFormatting xmlns:xm="http://schemas.microsoft.com/office/excel/2006/main">
          <x14:cfRule type="dataBar" id="{E52C1500-57C6-4728-8D6B-3AEBB3987DC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C141:D144</xm:sqref>
        </x14:conditionalFormatting>
        <x14:conditionalFormatting xmlns:xm="http://schemas.microsoft.com/office/excel/2006/main">
          <x14:cfRule type="dataBar" id="{CA0C5AE2-8D17-4E66-A039-5134D1F445E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D145</xm:sqref>
        </x14:conditionalFormatting>
        <x14:conditionalFormatting xmlns:xm="http://schemas.microsoft.com/office/excel/2006/main">
          <x14:cfRule type="dataBar" id="{07906B51-6999-4A5D-A12D-D1D35669FA7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E145:G145</xm:sqref>
        </x14:conditionalFormatting>
        <x14:conditionalFormatting xmlns:xm="http://schemas.microsoft.com/office/excel/2006/main">
          <x14:cfRule type="dataBar" id="{BECF245C-C88A-4BA7-8CFF-8C60FAA4551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F141:F142</xm:sqref>
        </x14:conditionalFormatting>
        <x14:conditionalFormatting xmlns:xm="http://schemas.microsoft.com/office/excel/2006/main">
          <x14:cfRule type="dataBar" id="{88841BBF-FFFE-46F8-91D4-36EF25C2681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J142</xm:sqref>
        </x14:conditionalFormatting>
        <x14:conditionalFormatting xmlns:xm="http://schemas.microsoft.com/office/excel/2006/main">
          <x14:cfRule type="dataBar" id="{A75618EE-63E3-4827-AAD2-73029CA2E19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K142</xm:sqref>
        </x14:conditionalFormatting>
        <x14:conditionalFormatting xmlns:xm="http://schemas.microsoft.com/office/excel/2006/main">
          <x14:cfRule type="dataBar" id="{78B7AB7E-B76C-4583-9861-2C2FDC25664C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L142</xm:sqref>
        </x14:conditionalFormatting>
        <x14:conditionalFormatting xmlns:xm="http://schemas.microsoft.com/office/excel/2006/main">
          <x14:cfRule type="dataBar" id="{31533412-9126-488E-A5FE-55E3A8A10B6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K146</xm:sqref>
        </x14:conditionalFormatting>
        <x14:conditionalFormatting xmlns:xm="http://schemas.microsoft.com/office/excel/2006/main">
          <x14:cfRule type="dataBar" id="{A5CA0FB9-6E53-42F6-B2DA-9FB6087B97AD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L146</xm:sqref>
        </x14:conditionalFormatting>
        <x14:conditionalFormatting xmlns:xm="http://schemas.microsoft.com/office/excel/2006/main">
          <x14:cfRule type="dataBar" id="{ECE1F1D5-AA6C-445B-B98F-372C6EAE7C4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J146</xm:sqref>
        </x14:conditionalFormatting>
        <x14:conditionalFormatting xmlns:xm="http://schemas.microsoft.com/office/excel/2006/main">
          <x14:cfRule type="dataBar" id="{4D9F77A8-2D88-4039-8F33-9DCAB9F94D9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C145</xm:sqref>
        </x14:conditionalFormatting>
        <x14:conditionalFormatting xmlns:xm="http://schemas.microsoft.com/office/excel/2006/main">
          <x14:cfRule type="dataBar" id="{8E831FDF-96B9-435C-B34C-27D0EEB4663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S3</xm:sqref>
        </x14:conditionalFormatting>
        <x14:conditionalFormatting xmlns:xm="http://schemas.microsoft.com/office/excel/2006/main">
          <x14:cfRule type="dataBar" id="{8C9F424F-124A-49A6-8BA9-4E6BDE46F9A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S4</xm:sqref>
        </x14:conditionalFormatting>
        <x14:conditionalFormatting xmlns:xm="http://schemas.microsoft.com/office/excel/2006/main">
          <x14:cfRule type="dataBar" id="{9FEAE7E4-6201-46F2-A18F-A96D9C36552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S5</xm:sqref>
        </x14:conditionalFormatting>
        <x14:conditionalFormatting xmlns:xm="http://schemas.microsoft.com/office/excel/2006/main">
          <x14:cfRule type="dataBar" id="{C6E4FC54-4384-634B-A57E-374732582EE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AD3:AE5</xm:sqref>
        </x14:conditionalFormatting>
        <x14:conditionalFormatting xmlns:xm="http://schemas.microsoft.com/office/excel/2006/main">
          <x14:cfRule type="dataBar" id="{340D5164-33E3-0544-887E-3DF01BFB7BF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AA3:AC5</xm:sqref>
        </x14:conditionalFormatting>
        <x14:conditionalFormatting xmlns:xm="http://schemas.microsoft.com/office/excel/2006/main">
          <x14:cfRule type="dataBar" id="{3109E266-146B-9D44-8D20-E71755262DF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J154</xm:sqref>
        </x14:conditionalFormatting>
        <x14:conditionalFormatting xmlns:xm="http://schemas.microsoft.com/office/excel/2006/main">
          <x14:cfRule type="dataBar" id="{F4B80892-398F-CC4F-B55D-BCF400A91C0C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K154</xm:sqref>
        </x14:conditionalFormatting>
        <x14:conditionalFormatting xmlns:xm="http://schemas.microsoft.com/office/excel/2006/main">
          <x14:cfRule type="dataBar" id="{46EC0C3D-546B-D94F-B4EB-9DC237291682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L154</xm:sqref>
        </x14:conditionalFormatting>
        <x14:conditionalFormatting xmlns:xm="http://schemas.microsoft.com/office/excel/2006/main">
          <x14:cfRule type="dataBar" id="{621B12F6-D95F-7D4D-9A09-00D54C340ED1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K158</xm:sqref>
        </x14:conditionalFormatting>
        <x14:conditionalFormatting xmlns:xm="http://schemas.microsoft.com/office/excel/2006/main">
          <x14:cfRule type="dataBar" id="{F12ABE15-9B67-F040-A351-9F218988DFB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L158</xm:sqref>
        </x14:conditionalFormatting>
        <x14:conditionalFormatting xmlns:xm="http://schemas.microsoft.com/office/excel/2006/main">
          <x14:cfRule type="dataBar" id="{2888638F-5B08-7743-A848-C947A93364E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J158</xm:sqref>
        </x14:conditionalFormatting>
        <x14:conditionalFormatting xmlns:xm="http://schemas.microsoft.com/office/excel/2006/main">
          <x14:cfRule type="dataBar" id="{E87BEE4E-BE95-4808-A538-A25A5B5459D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J163</xm:sqref>
        </x14:conditionalFormatting>
        <x14:conditionalFormatting xmlns:xm="http://schemas.microsoft.com/office/excel/2006/main">
          <x14:cfRule type="dataBar" id="{8CCC05AF-81C3-4CCE-8F4B-DF365569F2C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K163</xm:sqref>
        </x14:conditionalFormatting>
        <x14:conditionalFormatting xmlns:xm="http://schemas.microsoft.com/office/excel/2006/main">
          <x14:cfRule type="dataBar" id="{0859B817-CC7A-431F-BDB5-DE56AF260C0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L163</xm:sqref>
        </x14:conditionalFormatting>
        <x14:conditionalFormatting xmlns:xm="http://schemas.microsoft.com/office/excel/2006/main">
          <x14:cfRule type="dataBar" id="{075FC229-21A4-4059-8FED-8167FB6F99F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K167</xm:sqref>
        </x14:conditionalFormatting>
        <x14:conditionalFormatting xmlns:xm="http://schemas.microsoft.com/office/excel/2006/main">
          <x14:cfRule type="dataBar" id="{62517FFD-CFA1-476A-96B7-B28E9DEBE9F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L167</xm:sqref>
        </x14:conditionalFormatting>
        <x14:conditionalFormatting xmlns:xm="http://schemas.microsoft.com/office/excel/2006/main">
          <x14:cfRule type="dataBar" id="{1FFBBCBF-74EA-40DF-AD7E-C9E067CF308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J167</xm:sqref>
        </x14:conditionalFormatting>
        <x14:conditionalFormatting xmlns:xm="http://schemas.microsoft.com/office/excel/2006/main">
          <x14:cfRule type="dataBar" id="{358AE11D-DFF2-4A43-B67B-D35AA061097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J172</xm:sqref>
        </x14:conditionalFormatting>
        <x14:conditionalFormatting xmlns:xm="http://schemas.microsoft.com/office/excel/2006/main">
          <x14:cfRule type="dataBar" id="{C0C0CC0E-CFC0-4D84-96C4-6ACBCCE2EF13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K172</xm:sqref>
        </x14:conditionalFormatting>
        <x14:conditionalFormatting xmlns:xm="http://schemas.microsoft.com/office/excel/2006/main">
          <x14:cfRule type="dataBar" id="{899756D6-D7A4-4D32-B465-E29C529A44A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L172</xm:sqref>
        </x14:conditionalFormatting>
        <x14:conditionalFormatting xmlns:xm="http://schemas.microsoft.com/office/excel/2006/main">
          <x14:cfRule type="dataBar" id="{DD5B9736-974B-458A-80F9-375D073A788E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K176</xm:sqref>
        </x14:conditionalFormatting>
        <x14:conditionalFormatting xmlns:xm="http://schemas.microsoft.com/office/excel/2006/main">
          <x14:cfRule type="dataBar" id="{5AD28D8C-3268-438A-88A5-60212B2ABD06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L176</xm:sqref>
        </x14:conditionalFormatting>
        <x14:conditionalFormatting xmlns:xm="http://schemas.microsoft.com/office/excel/2006/main">
          <x14:cfRule type="dataBar" id="{9AD4EE39-3FFA-446B-B695-F2892FFE074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J176</xm:sqref>
        </x14:conditionalFormatting>
        <x14:conditionalFormatting xmlns:xm="http://schemas.microsoft.com/office/excel/2006/main">
          <x14:cfRule type="dataBar" id="{5633C64C-882D-4B7A-9782-65CB9C338899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J181</xm:sqref>
        </x14:conditionalFormatting>
        <x14:conditionalFormatting xmlns:xm="http://schemas.microsoft.com/office/excel/2006/main">
          <x14:cfRule type="dataBar" id="{CFD906C5-AB42-49B3-99D6-F09D59406D7F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K181</xm:sqref>
        </x14:conditionalFormatting>
        <x14:conditionalFormatting xmlns:xm="http://schemas.microsoft.com/office/excel/2006/main">
          <x14:cfRule type="dataBar" id="{F76EDA19-80AD-4DA6-8999-CD8BB279B9C7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L181</xm:sqref>
        </x14:conditionalFormatting>
        <x14:conditionalFormatting xmlns:xm="http://schemas.microsoft.com/office/excel/2006/main">
          <x14:cfRule type="dataBar" id="{E60F736A-AA98-4500-8337-5CED2E614E84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K185</xm:sqref>
        </x14:conditionalFormatting>
        <x14:conditionalFormatting xmlns:xm="http://schemas.microsoft.com/office/excel/2006/main">
          <x14:cfRule type="dataBar" id="{C171AA19-86FB-4B34-9D00-A531874B47D0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L185</xm:sqref>
        </x14:conditionalFormatting>
        <x14:conditionalFormatting xmlns:xm="http://schemas.microsoft.com/office/excel/2006/main">
          <x14:cfRule type="dataBar" id="{9A57377A-CA7C-4521-8881-B6A22CC26EFF}">
            <x14:dataBar minLength="0" maxLength="100" gradient="0">
              <x14:cfvo type="autoMin"/>
              <x14:cfvo type="num">
                <xm:f>1</xm:f>
              </x14:cfvo>
              <x14:negativeFillColor rgb="FFFF0000"/>
              <x14:axisColor rgb="FF000000"/>
            </x14:dataBar>
          </x14:cfRule>
          <xm:sqref>J185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4:D43"/>
  <sheetViews>
    <sheetView topLeftCell="A24" workbookViewId="0">
      <selection activeCell="D33" sqref="D33"/>
    </sheetView>
  </sheetViews>
  <sheetFormatPr baseColWidth="10" defaultColWidth="11.5" defaultRowHeight="15" x14ac:dyDescent="0.2"/>
  <sheetData>
    <row r="24" spans="1:4" x14ac:dyDescent="0.2">
      <c r="A24" s="61" t="s">
        <v>61</v>
      </c>
      <c r="B24" t="s">
        <v>62</v>
      </c>
      <c r="C24" s="20">
        <v>44245</v>
      </c>
      <c r="D24" t="s">
        <v>63</v>
      </c>
    </row>
    <row r="25" spans="1:4" x14ac:dyDescent="0.2">
      <c r="A25" s="61"/>
      <c r="B25" t="s">
        <v>64</v>
      </c>
      <c r="C25" s="3">
        <v>1</v>
      </c>
      <c r="D25" s="3">
        <v>0.4</v>
      </c>
    </row>
    <row r="42" spans="1:4" x14ac:dyDescent="0.2">
      <c r="A42" s="61" t="s">
        <v>65</v>
      </c>
      <c r="B42" t="s">
        <v>62</v>
      </c>
      <c r="C42" s="20">
        <f ca="1">TODAY()</f>
        <v>44889</v>
      </c>
      <c r="D42" t="s">
        <v>66</v>
      </c>
    </row>
    <row r="43" spans="1:4" x14ac:dyDescent="0.2">
      <c r="A43" s="61"/>
      <c r="B43" t="s">
        <v>64</v>
      </c>
      <c r="C43" s="3">
        <v>1</v>
      </c>
      <c r="D43" s="3">
        <v>1</v>
      </c>
    </row>
  </sheetData>
  <mergeCells count="2">
    <mergeCell ref="A24:A25"/>
    <mergeCell ref="A42:A4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34" workbookViewId="0">
      <selection activeCell="R2" sqref="R2"/>
    </sheetView>
  </sheetViews>
  <sheetFormatPr baseColWidth="10" defaultColWidth="11.5" defaultRowHeight="15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15"/>
  <sheetViews>
    <sheetView workbookViewId="0">
      <selection sqref="A1:G17"/>
    </sheetView>
  </sheetViews>
  <sheetFormatPr baseColWidth="10" defaultColWidth="9.1640625" defaultRowHeight="15" x14ac:dyDescent="0.2"/>
  <cols>
    <col min="2" max="2" width="19.83203125" bestFit="1" customWidth="1"/>
    <col min="3" max="3" width="32.1640625" customWidth="1"/>
    <col min="4" max="4" width="24.33203125" bestFit="1" customWidth="1"/>
    <col min="5" max="5" width="17.5" bestFit="1" customWidth="1"/>
    <col min="7" max="7" width="13.83203125" customWidth="1"/>
  </cols>
  <sheetData>
    <row r="1" spans="1:5" x14ac:dyDescent="0.2">
      <c r="A1" s="13"/>
      <c r="B1" s="13"/>
      <c r="C1" s="13"/>
      <c r="D1" s="13"/>
      <c r="E1" s="14"/>
    </row>
    <row r="2" spans="1:5" x14ac:dyDescent="0.2">
      <c r="A2" s="1"/>
      <c r="B2" s="12"/>
      <c r="C2" s="11"/>
      <c r="D2" s="1"/>
      <c r="E2" s="1"/>
    </row>
    <row r="3" spans="1:5" x14ac:dyDescent="0.2">
      <c r="A3" s="1"/>
      <c r="B3" s="12"/>
      <c r="C3" s="11"/>
      <c r="D3" s="1"/>
      <c r="E3" s="1"/>
    </row>
    <row r="4" spans="1:5" x14ac:dyDescent="0.2">
      <c r="A4" s="1"/>
      <c r="B4" s="12"/>
      <c r="C4" s="11"/>
      <c r="D4" s="1"/>
      <c r="E4" s="1"/>
    </row>
    <row r="5" spans="1:5" x14ac:dyDescent="0.2">
      <c r="A5" s="1"/>
      <c r="B5" s="12"/>
      <c r="C5" s="11"/>
      <c r="D5" s="1"/>
      <c r="E5" s="1"/>
    </row>
    <row r="6" spans="1:5" x14ac:dyDescent="0.2">
      <c r="A6" s="1"/>
      <c r="B6" s="12"/>
      <c r="C6" s="11"/>
      <c r="D6" s="1"/>
      <c r="E6" s="1"/>
    </row>
    <row r="7" spans="1:5" x14ac:dyDescent="0.2">
      <c r="A7" s="1"/>
      <c r="B7" s="12"/>
      <c r="C7" s="11"/>
      <c r="D7" s="1"/>
      <c r="E7" s="1"/>
    </row>
    <row r="8" spans="1:5" x14ac:dyDescent="0.2">
      <c r="A8" s="1"/>
      <c r="B8" s="12"/>
      <c r="C8" s="16"/>
      <c r="D8" s="1"/>
      <c r="E8" s="1"/>
    </row>
    <row r="9" spans="1:5" x14ac:dyDescent="0.2">
      <c r="A9" s="1"/>
      <c r="B9" s="12"/>
      <c r="C9" s="16"/>
      <c r="D9" s="1"/>
      <c r="E9" s="1"/>
    </row>
    <row r="10" spans="1:5" x14ac:dyDescent="0.2">
      <c r="A10" s="1"/>
      <c r="B10" s="1"/>
      <c r="C10" s="15"/>
      <c r="D10" s="1"/>
      <c r="E10" s="1"/>
    </row>
    <row r="11" spans="1:5" x14ac:dyDescent="0.2">
      <c r="A11" s="1"/>
      <c r="B11" s="1"/>
      <c r="C11" s="15"/>
      <c r="D11" s="1"/>
      <c r="E11" s="1"/>
    </row>
    <row r="12" spans="1:5" x14ac:dyDescent="0.2">
      <c r="A12" s="1"/>
      <c r="B12" s="1"/>
      <c r="C12" s="15"/>
      <c r="D12" s="1"/>
      <c r="E12" s="1"/>
    </row>
    <row r="13" spans="1:5" x14ac:dyDescent="0.2">
      <c r="A13" s="1"/>
      <c r="B13" s="1"/>
      <c r="C13" s="15"/>
      <c r="D13" s="1"/>
      <c r="E13" s="1"/>
    </row>
    <row r="14" spans="1:5" x14ac:dyDescent="0.2">
      <c r="A14" s="1"/>
      <c r="B14" s="1"/>
      <c r="C14" s="15"/>
      <c r="D14" s="1"/>
      <c r="E14" s="1"/>
    </row>
    <row r="15" spans="1:5" x14ac:dyDescent="0.2">
      <c r="A15" s="1"/>
      <c r="B15" s="1"/>
      <c r="C15" s="1"/>
      <c r="D15" s="1"/>
      <c r="E1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Flujos Automatizados Movil</vt:lpstr>
      <vt:lpstr>Hoja2</vt:lpstr>
      <vt:lpstr>Hoja1</vt:lpstr>
      <vt:lpstr>Resumen Total Movil</vt:lpstr>
      <vt:lpstr>Graficas</vt:lpstr>
      <vt:lpstr>Resumen Diario Movil</vt:lpstr>
      <vt:lpstr>Tiempos Muertos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Jesus Yasmani Martinez Perdomo</dc:creator>
  <cp:keywords/>
  <dc:description/>
  <cp:lastModifiedBy>Microsoft Office User</cp:lastModifiedBy>
  <cp:revision/>
  <dcterms:created xsi:type="dcterms:W3CDTF">2020-08-21T15:46:42Z</dcterms:created>
  <dcterms:modified xsi:type="dcterms:W3CDTF">2022-11-24T21:29:45Z</dcterms:modified>
  <cp:category/>
  <cp:contentStatus/>
</cp:coreProperties>
</file>